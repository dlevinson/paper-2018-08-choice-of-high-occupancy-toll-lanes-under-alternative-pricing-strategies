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showInkAnnotation="0" autoCompressPictures="0"/>
  <bookViews>
    <workbookView xWindow="0" yWindow="0" windowWidth="25600" windowHeight="19660" tabRatio="500"/>
  </bookViews>
  <sheets>
    <sheet name="Chart1" sheetId="2" r:id="rId1"/>
    <sheet name="Sheet1" sheetId="1" r:id="rId2"/>
  </sheets>
  <definedNames>
    <definedName name="Beta">Sheet1!$B$1</definedName>
    <definedName name="factor">Sheet1!$H$4</definedName>
    <definedName name="gamma">Sheet1!#REF!</definedName>
    <definedName name="K_h">Sheet1!$A$4:$A$61</definedName>
    <definedName name="K_h2">Sheet1!#REF!</definedName>
    <definedName name="kmax">Sheet1!$H$1</definedName>
    <definedName name="P_h">Sheet1!$B$4:$B$61</definedName>
    <definedName name="pmax">Sheet1!$H$3</definedName>
    <definedName name="quarter">Sheet1!$E$1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4" i="1"/>
  <c r="C4" i="1"/>
  <c r="A5" i="1"/>
  <c r="A6" i="1"/>
  <c r="C6" i="1"/>
  <c r="A7" i="1"/>
  <c r="C7" i="1"/>
  <c r="A8" i="1"/>
  <c r="C8" i="1"/>
  <c r="A9" i="1"/>
  <c r="C9" i="1"/>
  <c r="A10" i="1"/>
  <c r="C10" i="1"/>
  <c r="A11" i="1"/>
  <c r="C11" i="1"/>
  <c r="A12" i="1"/>
  <c r="C12" i="1"/>
  <c r="A13" i="1"/>
  <c r="C13" i="1"/>
  <c r="A14" i="1"/>
  <c r="C14" i="1"/>
  <c r="A15" i="1"/>
  <c r="C15" i="1"/>
  <c r="A16" i="1"/>
  <c r="C16" i="1"/>
  <c r="A17" i="1"/>
  <c r="C17" i="1"/>
  <c r="A18" i="1"/>
  <c r="C18" i="1"/>
  <c r="A19" i="1"/>
  <c r="C19" i="1"/>
  <c r="A20" i="1"/>
  <c r="C20" i="1"/>
  <c r="A21" i="1"/>
  <c r="C21" i="1"/>
  <c r="A22" i="1"/>
  <c r="C22" i="1"/>
  <c r="A23" i="1"/>
  <c r="C23" i="1"/>
  <c r="A24" i="1"/>
  <c r="C24" i="1"/>
  <c r="A25" i="1"/>
  <c r="C25" i="1"/>
  <c r="A26" i="1"/>
  <c r="C26" i="1"/>
  <c r="A27" i="1"/>
  <c r="C27" i="1"/>
  <c r="A28" i="1"/>
  <c r="C28" i="1"/>
  <c r="A29" i="1"/>
  <c r="C29" i="1"/>
  <c r="A30" i="1"/>
  <c r="C30" i="1"/>
  <c r="A31" i="1"/>
  <c r="C31" i="1"/>
  <c r="A32" i="1"/>
  <c r="C32" i="1"/>
  <c r="A33" i="1"/>
  <c r="C33" i="1"/>
  <c r="A34" i="1"/>
  <c r="C34" i="1"/>
  <c r="A35" i="1"/>
  <c r="C35" i="1"/>
  <c r="A36" i="1"/>
  <c r="C36" i="1"/>
  <c r="A37" i="1"/>
  <c r="C37" i="1"/>
  <c r="A38" i="1"/>
  <c r="C38" i="1"/>
  <c r="A39" i="1"/>
  <c r="C39" i="1"/>
  <c r="A40" i="1"/>
  <c r="C40" i="1"/>
  <c r="A41" i="1"/>
  <c r="C41" i="1"/>
  <c r="A42" i="1"/>
  <c r="C42" i="1"/>
  <c r="A43" i="1"/>
  <c r="C43" i="1"/>
  <c r="A44" i="1"/>
  <c r="C44" i="1"/>
  <c r="A45" i="1"/>
  <c r="C45" i="1"/>
  <c r="A46" i="1"/>
  <c r="C46" i="1"/>
  <c r="A47" i="1"/>
  <c r="C47" i="1"/>
  <c r="A48" i="1"/>
  <c r="C48" i="1"/>
  <c r="A49" i="1"/>
  <c r="C49" i="1"/>
  <c r="A50" i="1"/>
  <c r="C50" i="1"/>
  <c r="A51" i="1"/>
  <c r="C51" i="1"/>
  <c r="A52" i="1"/>
  <c r="C52" i="1"/>
  <c r="A53" i="1"/>
  <c r="C53" i="1"/>
  <c r="A54" i="1"/>
  <c r="C54" i="1"/>
  <c r="A55" i="1"/>
  <c r="C55" i="1"/>
  <c r="A56" i="1"/>
  <c r="C56" i="1"/>
  <c r="A57" i="1"/>
  <c r="C57" i="1"/>
  <c r="A58" i="1"/>
  <c r="C58" i="1"/>
  <c r="A59" i="1"/>
  <c r="C59" i="1"/>
  <c r="A60" i="1"/>
  <c r="C60" i="1"/>
  <c r="A61" i="1"/>
  <c r="C61" i="1"/>
  <c r="C5" i="1"/>
</calcChain>
</file>

<file path=xl/sharedStrings.xml><?xml version="1.0" encoding="utf-8"?>
<sst xmlns="http://schemas.openxmlformats.org/spreadsheetml/2006/main" count="13" uniqueCount="13">
  <si>
    <t>Beta</t>
  </si>
  <si>
    <t>K_h</t>
  </si>
  <si>
    <t>quarter</t>
  </si>
  <si>
    <t>P_h (quarters)</t>
  </si>
  <si>
    <t>dollars</t>
  </si>
  <si>
    <t>kmax</t>
  </si>
  <si>
    <t>density at max price</t>
  </si>
  <si>
    <t>pmax</t>
  </si>
  <si>
    <t>factor</t>
  </si>
  <si>
    <t>factor to be determined via simulation to ensure P(x) of breakdown</t>
  </si>
  <si>
    <t>P(X) is a policy variable</t>
  </si>
  <si>
    <t>e.g. 99.5 % chance of breakdown</t>
  </si>
  <si>
    <t>breakdown = 8 km/h drop in speed from speed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</si>
</sst>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chartsheet" Target="chartsheets/sheet1.xml"/><Relationship Id="rId2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Sheet1!$C$3</c:f>
              <c:strCache>
                <c:ptCount val="1"/>
                <c:pt idx="0">
                  <c:v>dollars</c:v>
                </c:pt>
              </c:strCache>
            </c:strRef>
          </c:tx>
          <c:xVal>
            <c:numRef>
              <c:f>Sheet1!$A$4:$A$61</c:f>
              <c:numCache>
                <c:formatCode>General</c:formatCode>
                <c:ptCount val="58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  <c:pt idx="24">
                  <c:v>24.0</c:v>
                </c:pt>
                <c:pt idx="25">
                  <c:v>25.0</c:v>
                </c:pt>
                <c:pt idx="26">
                  <c:v>26.0</c:v>
                </c:pt>
                <c:pt idx="27">
                  <c:v>27.0</c:v>
                </c:pt>
                <c:pt idx="28">
                  <c:v>28.0</c:v>
                </c:pt>
                <c:pt idx="29">
                  <c:v>29.0</c:v>
                </c:pt>
                <c:pt idx="30">
                  <c:v>30.0</c:v>
                </c:pt>
                <c:pt idx="31">
                  <c:v>31.0</c:v>
                </c:pt>
                <c:pt idx="32">
                  <c:v>32.0</c:v>
                </c:pt>
                <c:pt idx="33">
                  <c:v>33.0</c:v>
                </c:pt>
                <c:pt idx="34">
                  <c:v>34.0</c:v>
                </c:pt>
                <c:pt idx="35">
                  <c:v>35.0</c:v>
                </c:pt>
                <c:pt idx="36">
                  <c:v>36.0</c:v>
                </c:pt>
                <c:pt idx="37">
                  <c:v>37.0</c:v>
                </c:pt>
                <c:pt idx="38">
                  <c:v>38.0</c:v>
                </c:pt>
                <c:pt idx="39">
                  <c:v>39.0</c:v>
                </c:pt>
                <c:pt idx="40">
                  <c:v>40.0</c:v>
                </c:pt>
                <c:pt idx="41">
                  <c:v>41.0</c:v>
                </c:pt>
                <c:pt idx="42">
                  <c:v>42.0</c:v>
                </c:pt>
                <c:pt idx="43">
                  <c:v>43.0</c:v>
                </c:pt>
                <c:pt idx="44">
                  <c:v>44.0</c:v>
                </c:pt>
                <c:pt idx="45">
                  <c:v>45.0</c:v>
                </c:pt>
                <c:pt idx="46">
                  <c:v>46.0</c:v>
                </c:pt>
                <c:pt idx="47">
                  <c:v>47.0</c:v>
                </c:pt>
                <c:pt idx="48">
                  <c:v>48.0</c:v>
                </c:pt>
                <c:pt idx="49">
                  <c:v>49.0</c:v>
                </c:pt>
                <c:pt idx="50">
                  <c:v>50.0</c:v>
                </c:pt>
                <c:pt idx="51">
                  <c:v>51.0</c:v>
                </c:pt>
                <c:pt idx="52">
                  <c:v>52.0</c:v>
                </c:pt>
                <c:pt idx="53">
                  <c:v>53.0</c:v>
                </c:pt>
                <c:pt idx="54">
                  <c:v>54.0</c:v>
                </c:pt>
                <c:pt idx="55">
                  <c:v>55.0</c:v>
                </c:pt>
                <c:pt idx="56">
                  <c:v>56.0</c:v>
                </c:pt>
                <c:pt idx="57">
                  <c:v>57.0</c:v>
                </c:pt>
              </c:numCache>
            </c:numRef>
          </c:xVal>
          <c:yVal>
            <c:numRef>
              <c:f>Sheet1!$C$4:$C$61</c:f>
              <c:numCache>
                <c:formatCode>General</c:formatCode>
                <c:ptCount val="58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0.75</c:v>
                </c:pt>
                <c:pt idx="17">
                  <c:v>0.75</c:v>
                </c:pt>
                <c:pt idx="18">
                  <c:v>1.0</c:v>
                </c:pt>
                <c:pt idx="19">
                  <c:v>1.0</c:v>
                </c:pt>
                <c:pt idx="20">
                  <c:v>1.0</c:v>
                </c:pt>
                <c:pt idx="21">
                  <c:v>1.25</c:v>
                </c:pt>
                <c:pt idx="22">
                  <c:v>1.25</c:v>
                </c:pt>
                <c:pt idx="23">
                  <c:v>1.5</c:v>
                </c:pt>
                <c:pt idx="24">
                  <c:v>1.75</c:v>
                </c:pt>
                <c:pt idx="25">
                  <c:v>1.75</c:v>
                </c:pt>
                <c:pt idx="26">
                  <c:v>2.0</c:v>
                </c:pt>
                <c:pt idx="27">
                  <c:v>2.0</c:v>
                </c:pt>
                <c:pt idx="28">
                  <c:v>2.25</c:v>
                </c:pt>
                <c:pt idx="29">
                  <c:v>2.5</c:v>
                </c:pt>
                <c:pt idx="30">
                  <c:v>2.75</c:v>
                </c:pt>
                <c:pt idx="31">
                  <c:v>2.75</c:v>
                </c:pt>
                <c:pt idx="32">
                  <c:v>3.0</c:v>
                </c:pt>
                <c:pt idx="33">
                  <c:v>3.25</c:v>
                </c:pt>
                <c:pt idx="34">
                  <c:v>3.5</c:v>
                </c:pt>
                <c:pt idx="35">
                  <c:v>3.75</c:v>
                </c:pt>
                <c:pt idx="36">
                  <c:v>4.0</c:v>
                </c:pt>
                <c:pt idx="37">
                  <c:v>4.25</c:v>
                </c:pt>
                <c:pt idx="38">
                  <c:v>4.5</c:v>
                </c:pt>
                <c:pt idx="39">
                  <c:v>4.75</c:v>
                </c:pt>
                <c:pt idx="40">
                  <c:v>5.0</c:v>
                </c:pt>
                <c:pt idx="41">
                  <c:v>5.25</c:v>
                </c:pt>
                <c:pt idx="42">
                  <c:v>5.5</c:v>
                </c:pt>
                <c:pt idx="43">
                  <c:v>5.75</c:v>
                </c:pt>
                <c:pt idx="44">
                  <c:v>6.0</c:v>
                </c:pt>
                <c:pt idx="45">
                  <c:v>6.5</c:v>
                </c:pt>
                <c:pt idx="46">
                  <c:v>6.75</c:v>
                </c:pt>
                <c:pt idx="47">
                  <c:v>7.0</c:v>
                </c:pt>
                <c:pt idx="48">
                  <c:v>7.25</c:v>
                </c:pt>
                <c:pt idx="49">
                  <c:v>7.75</c:v>
                </c:pt>
                <c:pt idx="50">
                  <c:v>8.0</c:v>
                </c:pt>
                <c:pt idx="51">
                  <c:v>8.25</c:v>
                </c:pt>
                <c:pt idx="52">
                  <c:v>8.75</c:v>
                </c:pt>
                <c:pt idx="53">
                  <c:v>9.0</c:v>
                </c:pt>
                <c:pt idx="54">
                  <c:v>9.5</c:v>
                </c:pt>
                <c:pt idx="55">
                  <c:v>9.75</c:v>
                </c:pt>
                <c:pt idx="56">
                  <c:v>10.25</c:v>
                </c:pt>
                <c:pt idx="57">
                  <c:v>10.5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1787032"/>
        <c:axId val="2081784664"/>
      </c:scatterChart>
      <c:valAx>
        <c:axId val="2081787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81784664"/>
        <c:crosses val="autoZero"/>
        <c:crossBetween val="midCat"/>
      </c:valAx>
      <c:valAx>
        <c:axId val="2081784664"/>
        <c:scaling>
          <c:orientation val="minMax"/>
          <c:max val="8.0"/>
          <c:min val="0.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8178703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60" workbookViewId="0" zoomToFit="1"/>
  </sheetViews>
  <pageMargins left="0.75" right="0.75" top="1" bottom="1" header="0.5" footer="0.5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80438" cy="58340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workbookViewId="0">
      <selection activeCell="G12" sqref="G12"/>
    </sheetView>
  </sheetViews>
  <sheetFormatPr baseColWidth="10" defaultRowHeight="15" x14ac:dyDescent="0"/>
  <sheetData>
    <row r="1" spans="1:8">
      <c r="A1" t="s">
        <v>0</v>
      </c>
      <c r="B1">
        <f>LN(pmax*quarter)/(LN(kmax*factor))</f>
        <v>2.1533827903669653</v>
      </c>
      <c r="D1" t="s">
        <v>2</v>
      </c>
      <c r="E1">
        <v>4</v>
      </c>
      <c r="G1" t="s">
        <v>5</v>
      </c>
      <c r="H1">
        <v>50</v>
      </c>
    </row>
    <row r="2" spans="1:8">
      <c r="G2" t="s">
        <v>6</v>
      </c>
    </row>
    <row r="3" spans="1:8">
      <c r="A3" t="s">
        <v>1</v>
      </c>
      <c r="B3" t="s">
        <v>3</v>
      </c>
      <c r="C3" t="s">
        <v>4</v>
      </c>
      <c r="G3" t="s">
        <v>7</v>
      </c>
      <c r="H3">
        <v>8</v>
      </c>
    </row>
    <row r="4" spans="1:8">
      <c r="A4">
        <v>0</v>
      </c>
      <c r="B4">
        <f>((K_h*factor)^Beta)</f>
        <v>0</v>
      </c>
      <c r="C4">
        <f>(ROUND(B4,0)/4)</f>
        <v>0</v>
      </c>
      <c r="G4" t="s">
        <v>8</v>
      </c>
      <c r="H4">
        <v>0.1</v>
      </c>
    </row>
    <row r="5" spans="1:8">
      <c r="A5">
        <f>A4+1</f>
        <v>1</v>
      </c>
      <c r="B5">
        <f>((K_h*factor)^Beta)</f>
        <v>7.0245289976431135E-3</v>
      </c>
      <c r="C5">
        <f>(ROUND(B5,0)/4)</f>
        <v>0</v>
      </c>
    </row>
    <row r="6" spans="1:8">
      <c r="A6">
        <f t="shared" ref="A6:A61" si="0">A5+1</f>
        <v>2</v>
      </c>
      <c r="B6">
        <f>((K_h*factor)^Beta)</f>
        <v>3.125E-2</v>
      </c>
      <c r="C6">
        <f t="shared" ref="C6:C61" si="1">(ROUND(B6,0)/4)</f>
        <v>0</v>
      </c>
    </row>
    <row r="7" spans="1:8">
      <c r="A7">
        <f t="shared" si="0"/>
        <v>3</v>
      </c>
      <c r="B7">
        <f>((K_h*factor)^Beta)</f>
        <v>7.4824170070997245E-2</v>
      </c>
      <c r="C7">
        <f t="shared" si="1"/>
        <v>0</v>
      </c>
    </row>
    <row r="8" spans="1:8">
      <c r="A8">
        <f t="shared" si="0"/>
        <v>4</v>
      </c>
      <c r="B8">
        <f>((K_h*factor)^Beta)</f>
        <v>0.13902177645329081</v>
      </c>
      <c r="C8">
        <f t="shared" si="1"/>
        <v>0</v>
      </c>
      <c r="G8" t="s">
        <v>9</v>
      </c>
    </row>
    <row r="9" spans="1:8">
      <c r="A9">
        <f t="shared" si="0"/>
        <v>5</v>
      </c>
      <c r="B9">
        <f>((K_h*factor)^Beta)</f>
        <v>0.22478492792457963</v>
      </c>
      <c r="C9">
        <f t="shared" si="1"/>
        <v>0</v>
      </c>
      <c r="G9" t="s">
        <v>10</v>
      </c>
    </row>
    <row r="10" spans="1:8">
      <c r="A10">
        <f t="shared" si="0"/>
        <v>6</v>
      </c>
      <c r="B10">
        <f>((K_h*factor)^Beta)</f>
        <v>0.33287004943722232</v>
      </c>
      <c r="C10">
        <f t="shared" si="1"/>
        <v>0</v>
      </c>
      <c r="G10" t="s">
        <v>11</v>
      </c>
    </row>
    <row r="11" spans="1:8">
      <c r="A11">
        <f t="shared" si="0"/>
        <v>7</v>
      </c>
      <c r="B11">
        <f>((K_h*factor)^Beta)</f>
        <v>0.46391325900429425</v>
      </c>
      <c r="C11">
        <f t="shared" si="1"/>
        <v>0</v>
      </c>
    </row>
    <row r="12" spans="1:8">
      <c r="A12">
        <f t="shared" si="0"/>
        <v>8</v>
      </c>
      <c r="B12">
        <f>((K_h*factor)^Beta)</f>
        <v>0.61846573850332054</v>
      </c>
      <c r="C12">
        <f t="shared" si="1"/>
        <v>0.25</v>
      </c>
      <c r="G12" t="s">
        <v>12</v>
      </c>
    </row>
    <row r="13" spans="1:8">
      <c r="A13">
        <f t="shared" si="0"/>
        <v>9</v>
      </c>
      <c r="B13">
        <f>((K_h*factor)^Beta)</f>
        <v>0.79701520610022336</v>
      </c>
      <c r="C13">
        <f t="shared" si="1"/>
        <v>0.25</v>
      </c>
    </row>
    <row r="14" spans="1:8">
      <c r="A14">
        <f t="shared" si="0"/>
        <v>10</v>
      </c>
      <c r="B14">
        <f>((K_h*factor)^Beta)</f>
        <v>1</v>
      </c>
      <c r="C14">
        <f t="shared" si="1"/>
        <v>0.25</v>
      </c>
    </row>
    <row r="15" spans="1:8">
      <c r="A15">
        <f t="shared" si="0"/>
        <v>11</v>
      </c>
      <c r="B15">
        <f>((K_h*factor)^Beta)</f>
        <v>1.2278188480118006</v>
      </c>
      <c r="C15">
        <f t="shared" si="1"/>
        <v>0.25</v>
      </c>
    </row>
    <row r="16" spans="1:8">
      <c r="A16">
        <f t="shared" si="0"/>
        <v>12</v>
      </c>
      <c r="B16">
        <f>((K_h*factor)^Beta)</f>
        <v>1.4808379392274362</v>
      </c>
      <c r="C16">
        <f t="shared" si="1"/>
        <v>0.25</v>
      </c>
    </row>
    <row r="17" spans="1:3">
      <c r="A17">
        <f t="shared" si="0"/>
        <v>13</v>
      </c>
      <c r="B17">
        <f>((K_h*factor)^Beta)</f>
        <v>1.7593962174262767</v>
      </c>
      <c r="C17">
        <f t="shared" si="1"/>
        <v>0.5</v>
      </c>
    </row>
    <row r="18" spans="1:3">
      <c r="A18">
        <f t="shared" si="0"/>
        <v>14</v>
      </c>
      <c r="B18">
        <f>((K_h*factor)^Beta)</f>
        <v>2.0638094523844033</v>
      </c>
      <c r="C18">
        <f t="shared" si="1"/>
        <v>0.5</v>
      </c>
    </row>
    <row r="19" spans="1:3">
      <c r="A19">
        <f t="shared" si="0"/>
        <v>15</v>
      </c>
      <c r="B19">
        <f>((K_h*factor)^Beta)</f>
        <v>2.3943734422719123</v>
      </c>
      <c r="C19">
        <f t="shared" si="1"/>
        <v>0.5</v>
      </c>
    </row>
    <row r="20" spans="1:3">
      <c r="A20">
        <f t="shared" si="0"/>
        <v>16</v>
      </c>
      <c r="B20">
        <f>((K_h*factor)^Beta)</f>
        <v>2.7513665805512977</v>
      </c>
      <c r="C20">
        <f t="shared" si="1"/>
        <v>0.75</v>
      </c>
    </row>
    <row r="21" spans="1:3">
      <c r="A21">
        <f t="shared" si="0"/>
        <v>17</v>
      </c>
      <c r="B21">
        <f>((K_h*factor)^Beta)</f>
        <v>3.1350519468628333</v>
      </c>
      <c r="C21">
        <f t="shared" si="1"/>
        <v>0.75</v>
      </c>
    </row>
    <row r="22" spans="1:3">
      <c r="A22">
        <f t="shared" si="0"/>
        <v>18</v>
      </c>
      <c r="B22">
        <f>((K_h*factor)^Beta)</f>
        <v>3.545679033994841</v>
      </c>
      <c r="C22">
        <f t="shared" si="1"/>
        <v>1</v>
      </c>
    </row>
    <row r="23" spans="1:3">
      <c r="A23">
        <f t="shared" si="0"/>
        <v>19</v>
      </c>
      <c r="B23">
        <f>((K_h*factor)^Beta)</f>
        <v>3.9834851916670622</v>
      </c>
      <c r="C23">
        <f t="shared" si="1"/>
        <v>1</v>
      </c>
    </row>
    <row r="24" spans="1:3">
      <c r="A24">
        <f t="shared" si="0"/>
        <v>20</v>
      </c>
      <c r="B24">
        <f>((K_h*factor)^Beta)</f>
        <v>4.4486968465053058</v>
      </c>
      <c r="C24">
        <f t="shared" si="1"/>
        <v>1</v>
      </c>
    </row>
    <row r="25" spans="1:3">
      <c r="A25">
        <f t="shared" si="0"/>
        <v>21</v>
      </c>
      <c r="B25">
        <f>((K_h*factor)^Beta)</f>
        <v>4.9415305426989535</v>
      </c>
      <c r="C25">
        <f t="shared" si="1"/>
        <v>1.25</v>
      </c>
    </row>
    <row r="26" spans="1:3">
      <c r="A26">
        <f t="shared" si="0"/>
        <v>22</v>
      </c>
      <c r="B26">
        <f>((K_h*factor)^Beta)</f>
        <v>5.4621938372298757</v>
      </c>
      <c r="C26">
        <f t="shared" si="1"/>
        <v>1.25</v>
      </c>
    </row>
    <row r="27" spans="1:3">
      <c r="A27">
        <f t="shared" si="0"/>
        <v>23</v>
      </c>
      <c r="B27">
        <f>((K_h*factor)^Beta)</f>
        <v>6.0108860758653435</v>
      </c>
      <c r="C27">
        <f t="shared" si="1"/>
        <v>1.5</v>
      </c>
    </row>
    <row r="28" spans="1:3">
      <c r="A28">
        <f t="shared" si="0"/>
        <v>24</v>
      </c>
      <c r="B28">
        <f>((K_h*factor)^Beta)</f>
        <v>6.5877990704265121</v>
      </c>
      <c r="C28">
        <f t="shared" si="1"/>
        <v>1.75</v>
      </c>
    </row>
    <row r="29" spans="1:3">
      <c r="A29">
        <f t="shared" si="0"/>
        <v>25</v>
      </c>
      <c r="B29">
        <f>((K_h*factor)^Beta)</f>
        <v>7.19311769358655</v>
      </c>
      <c r="C29">
        <f t="shared" si="1"/>
        <v>1.75</v>
      </c>
    </row>
    <row r="30" spans="1:3">
      <c r="A30">
        <f t="shared" si="0"/>
        <v>26</v>
      </c>
      <c r="B30">
        <f>((K_h*factor)^Beta)</f>
        <v>7.8270204042176417</v>
      </c>
      <c r="C30">
        <f t="shared" si="1"/>
        <v>2</v>
      </c>
    </row>
    <row r="31" spans="1:3">
      <c r="A31">
        <f t="shared" si="0"/>
        <v>27</v>
      </c>
      <c r="B31">
        <f>((K_h*factor)^Beta)</f>
        <v>8.4896797138175746</v>
      </c>
      <c r="C31">
        <f t="shared" si="1"/>
        <v>2</v>
      </c>
    </row>
    <row r="32" spans="1:3">
      <c r="A32">
        <f t="shared" si="0"/>
        <v>28</v>
      </c>
      <c r="B32">
        <f>((K_h*factor)^Beta)</f>
        <v>9.1812626026103388</v>
      </c>
      <c r="C32">
        <f t="shared" si="1"/>
        <v>2.25</v>
      </c>
    </row>
    <row r="33" spans="1:3">
      <c r="A33">
        <f t="shared" si="0"/>
        <v>29</v>
      </c>
      <c r="B33">
        <f>((K_h*factor)^Beta)</f>
        <v>9.9019308923928033</v>
      </c>
      <c r="C33">
        <f t="shared" si="1"/>
        <v>2.5</v>
      </c>
    </row>
    <row r="34" spans="1:3">
      <c r="A34">
        <f t="shared" si="0"/>
        <v>30</v>
      </c>
      <c r="B34">
        <f>((K_h*factor)^Beta)</f>
        <v>10.651841581991114</v>
      </c>
      <c r="C34">
        <f t="shared" si="1"/>
        <v>2.75</v>
      </c>
    </row>
    <row r="35" spans="1:3">
      <c r="A35">
        <f t="shared" si="0"/>
        <v>31</v>
      </c>
      <c r="B35">
        <f>((K_h*factor)^Beta)</f>
        <v>11.43114715022274</v>
      </c>
      <c r="C35">
        <f t="shared" si="1"/>
        <v>2.75</v>
      </c>
    </row>
    <row r="36" spans="1:3">
      <c r="A36">
        <f t="shared" si="0"/>
        <v>32</v>
      </c>
      <c r="B36">
        <f>((K_h*factor)^Beta)</f>
        <v>12.239995830478643</v>
      </c>
      <c r="C36">
        <f t="shared" si="1"/>
        <v>3</v>
      </c>
    </row>
    <row r="37" spans="1:3">
      <c r="A37">
        <f t="shared" si="0"/>
        <v>33</v>
      </c>
      <c r="B37">
        <f>((K_h*factor)^Beta)</f>
        <v>13.078531860404517</v>
      </c>
      <c r="C37">
        <f t="shared" si="1"/>
        <v>3.25</v>
      </c>
    </row>
    <row r="38" spans="1:3">
      <c r="A38">
        <f t="shared" si="0"/>
        <v>34</v>
      </c>
      <c r="B38">
        <f>((K_h*factor)^Beta)</f>
        <v>13.94689570963901</v>
      </c>
      <c r="C38">
        <f t="shared" si="1"/>
        <v>3.5</v>
      </c>
    </row>
    <row r="39" spans="1:3">
      <c r="A39">
        <f t="shared" si="0"/>
        <v>35</v>
      </c>
      <c r="B39">
        <f>((K_h*factor)^Beta)</f>
        <v>14.845224288137418</v>
      </c>
      <c r="C39">
        <f t="shared" si="1"/>
        <v>3.75</v>
      </c>
    </row>
    <row r="40" spans="1:3">
      <c r="A40">
        <f t="shared" si="0"/>
        <v>36</v>
      </c>
      <c r="B40">
        <f>((K_h*factor)^Beta)</f>
        <v>15.773651137252822</v>
      </c>
      <c r="C40">
        <f t="shared" si="1"/>
        <v>4</v>
      </c>
    </row>
    <row r="41" spans="1:3">
      <c r="A41">
        <f t="shared" si="0"/>
        <v>37</v>
      </c>
      <c r="B41">
        <f>((K_h*factor)^Beta)</f>
        <v>16.732306605449025</v>
      </c>
      <c r="C41">
        <f t="shared" si="1"/>
        <v>4.25</v>
      </c>
    </row>
    <row r="42" spans="1:3">
      <c r="A42">
        <f t="shared" si="0"/>
        <v>38</v>
      </c>
      <c r="B42">
        <f>((K_h*factor)^Beta)</f>
        <v>17.721318010269851</v>
      </c>
      <c r="C42">
        <f t="shared" si="1"/>
        <v>4.5</v>
      </c>
    </row>
    <row r="43" spans="1:3">
      <c r="A43">
        <f t="shared" si="0"/>
        <v>39</v>
      </c>
      <c r="B43">
        <f>((K_h*factor)^Beta)</f>
        <v>18.740809787979096</v>
      </c>
      <c r="C43">
        <f t="shared" si="1"/>
        <v>4.75</v>
      </c>
    </row>
    <row r="44" spans="1:3">
      <c r="A44">
        <f t="shared" si="0"/>
        <v>40</v>
      </c>
      <c r="B44">
        <f>((K_h*factor)^Beta)</f>
        <v>19.790903632106257</v>
      </c>
      <c r="C44">
        <f t="shared" si="1"/>
        <v>5</v>
      </c>
    </row>
    <row r="45" spans="1:3">
      <c r="A45">
        <f t="shared" si="0"/>
        <v>41</v>
      </c>
      <c r="B45">
        <f>((K_h*factor)^Beta)</f>
        <v>20.871718621981714</v>
      </c>
      <c r="C45">
        <f t="shared" si="1"/>
        <v>5.25</v>
      </c>
    </row>
    <row r="46" spans="1:3">
      <c r="A46">
        <f t="shared" si="0"/>
        <v>42</v>
      </c>
      <c r="B46">
        <f>((K_h*factor)^Beta)</f>
        <v>21.98337134221449</v>
      </c>
      <c r="C46">
        <f t="shared" si="1"/>
        <v>5.5</v>
      </c>
    </row>
    <row r="47" spans="1:3">
      <c r="A47">
        <f t="shared" si="0"/>
        <v>43</v>
      </c>
      <c r="B47">
        <f>((K_h*factor)^Beta)</f>
        <v>23.125975993954608</v>
      </c>
      <c r="C47">
        <f t="shared" si="1"/>
        <v>5.75</v>
      </c>
    </row>
    <row r="48" spans="1:3">
      <c r="A48">
        <f t="shared" si="0"/>
        <v>44</v>
      </c>
      <c r="B48">
        <f>((K_h*factor)^Beta)</f>
        <v>24.299644498685272</v>
      </c>
      <c r="C48">
        <f t="shared" si="1"/>
        <v>6</v>
      </c>
    </row>
    <row r="49" spans="1:3">
      <c r="A49">
        <f t="shared" si="0"/>
        <v>45</v>
      </c>
      <c r="B49">
        <f>((K_h*factor)^Beta)</f>
        <v>25.504486595207151</v>
      </c>
      <c r="C49">
        <f t="shared" si="1"/>
        <v>6.5</v>
      </c>
    </row>
    <row r="50" spans="1:3">
      <c r="A50">
        <f t="shared" si="0"/>
        <v>46</v>
      </c>
      <c r="B50">
        <f>((K_h*factor)^Beta)</f>
        <v>26.740609930404808</v>
      </c>
      <c r="C50">
        <f t="shared" si="1"/>
        <v>6.75</v>
      </c>
    </row>
    <row r="51" spans="1:3">
      <c r="A51">
        <f t="shared" si="0"/>
        <v>47</v>
      </c>
      <c r="B51">
        <f>((K_h*factor)^Beta)</f>
        <v>28.008120144321843</v>
      </c>
      <c r="C51">
        <f t="shared" si="1"/>
        <v>7</v>
      </c>
    </row>
    <row r="52" spans="1:3">
      <c r="A52">
        <f t="shared" si="0"/>
        <v>48</v>
      </c>
      <c r="B52">
        <f>((K_h*factor)^Beta)</f>
        <v>29.307120950017026</v>
      </c>
      <c r="C52">
        <f t="shared" si="1"/>
        <v>7.25</v>
      </c>
    </row>
    <row r="53" spans="1:3">
      <c r="A53">
        <f t="shared" si="0"/>
        <v>49</v>
      </c>
      <c r="B53">
        <f>((K_h*factor)^Beta)</f>
        <v>30.637714208624516</v>
      </c>
      <c r="C53">
        <f t="shared" si="1"/>
        <v>7.75</v>
      </c>
    </row>
    <row r="54" spans="1:3">
      <c r="A54">
        <f t="shared" si="0"/>
        <v>50</v>
      </c>
      <c r="B54">
        <f>((K_h*factor)^Beta)</f>
        <v>32</v>
      </c>
      <c r="C54">
        <f t="shared" si="1"/>
        <v>8</v>
      </c>
    </row>
    <row r="55" spans="1:3">
      <c r="A55">
        <f t="shared" si="0"/>
        <v>51</v>
      </c>
      <c r="B55">
        <f>((K_h*factor)^Beta)</f>
        <v>33.39407668929573</v>
      </c>
      <c r="C55">
        <f t="shared" si="1"/>
        <v>8.25</v>
      </c>
    </row>
    <row r="56" spans="1:3">
      <c r="A56">
        <f t="shared" si="0"/>
        <v>52</v>
      </c>
      <c r="B56">
        <f>((K_h*factor)^Beta)</f>
        <v>34.820040989775713</v>
      </c>
      <c r="C56">
        <f t="shared" si="1"/>
        <v>8.75</v>
      </c>
    </row>
    <row r="57" spans="1:3">
      <c r="A57">
        <f t="shared" si="0"/>
        <v>53</v>
      </c>
      <c r="B57">
        <f>((K_h*factor)^Beta)</f>
        <v>36.277988022152485</v>
      </c>
      <c r="C57">
        <f t="shared" si="1"/>
        <v>9</v>
      </c>
    </row>
    <row r="58" spans="1:3">
      <c r="A58">
        <f t="shared" si="0"/>
        <v>54</v>
      </c>
      <c r="B58">
        <f>((K_h*factor)^Beta)</f>
        <v>37.768011370700329</v>
      </c>
      <c r="C58">
        <f t="shared" si="1"/>
        <v>9.5</v>
      </c>
    </row>
    <row r="59" spans="1:3">
      <c r="A59">
        <f t="shared" si="0"/>
        <v>55</v>
      </c>
      <c r="B59">
        <f>((K_h*factor)^Beta)</f>
        <v>39.290203136377613</v>
      </c>
      <c r="C59">
        <f t="shared" si="1"/>
        <v>9.75</v>
      </c>
    </row>
    <row r="60" spans="1:3">
      <c r="A60">
        <f t="shared" si="0"/>
        <v>56</v>
      </c>
      <c r="B60">
        <f>((K_h*factor)^Beta)</f>
        <v>40.844653987169728</v>
      </c>
      <c r="C60">
        <f t="shared" si="1"/>
        <v>10.25</v>
      </c>
    </row>
    <row r="61" spans="1:3">
      <c r="A61">
        <f t="shared" si="0"/>
        <v>57</v>
      </c>
      <c r="B61">
        <f>((K_h*factor)^Beta)</f>
        <v>42.431453205845045</v>
      </c>
      <c r="C61">
        <f t="shared" si="1"/>
        <v>10.5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>University of Minnesota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Levinson</dc:creator>
  <cp:lastModifiedBy>David Levinson</cp:lastModifiedBy>
  <dcterms:created xsi:type="dcterms:W3CDTF">2013-01-17T16:24:59Z</dcterms:created>
  <dcterms:modified xsi:type="dcterms:W3CDTF">2013-01-17T17:23:24Z</dcterms:modified>
</cp:coreProperties>
</file>