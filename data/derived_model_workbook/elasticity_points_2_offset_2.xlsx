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0" yWindow="1260" windowWidth="26835" windowHeight="11445" activeTab="1"/>
  </bookViews>
  <sheets>
    <sheet name="Chart1" sheetId="2" r:id="rId1"/>
    <sheet name="Chart2" sheetId="3" r:id="rId2"/>
    <sheet name="4" sheetId="5" r:id="rId3"/>
    <sheet name="4(2)" sheetId="9" r:id="rId4"/>
    <sheet name="3" sheetId="10" r:id="rId5"/>
    <sheet name="Sheet8" sheetId="11" r:id="rId6"/>
    <sheet name="Sheet9" sheetId="12" r:id="rId7"/>
    <sheet name="elasticity_points_2_offset_2" sheetId="1" r:id="rId8"/>
    <sheet name="Sheet1" sheetId="13" r:id="rId9"/>
  </sheets>
  <definedNames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elasticity_points_2_offset_2!$K$10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45621"/>
  <fileRecoveryPr repairLoad="1"/>
</workbook>
</file>

<file path=xl/calcChain.xml><?xml version="1.0" encoding="utf-8"?>
<calcChain xmlns="http://schemas.openxmlformats.org/spreadsheetml/2006/main">
  <c r="F1" i="1" l="1"/>
  <c r="G1" i="1"/>
  <c r="E7" i="5" l="1"/>
  <c r="E4" i="5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1" i="1"/>
  <c r="E1" i="1"/>
  <c r="J1" i="1" l="1"/>
  <c r="J2" i="1"/>
  <c r="I2" i="1"/>
  <c r="I1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</calcChain>
</file>

<file path=xl/sharedStrings.xml><?xml version="1.0" encoding="utf-8"?>
<sst xmlns="http://schemas.openxmlformats.org/spreadsheetml/2006/main" count="159" uniqueCount="100">
  <si>
    <r>
      <t>= -0.2941x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+ 5.7446x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- 40.396x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+ 108.91x - 25.884</t>
    </r>
  </si>
  <si>
    <t>Observations</t>
  </si>
  <si>
    <t>ANOVA</t>
  </si>
  <si>
    <t>Total</t>
  </si>
  <si>
    <t>df</t>
  </si>
  <si>
    <t>SS</t>
  </si>
  <si>
    <t>MS</t>
  </si>
  <si>
    <t>F</t>
  </si>
  <si>
    <t>t Stat</t>
  </si>
  <si>
    <t>P-value</t>
  </si>
  <si>
    <t>t-Test: Two-Sample Assuming Equal Variances</t>
  </si>
  <si>
    <t>Variable 1</t>
  </si>
  <si>
    <t>Variable 2</t>
  </si>
  <si>
    <t>Mean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</si>
  <si>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</si>
  <si>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</si>
  <si>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</si>
  <si>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</si>
  <si>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</si>
  <si>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</si>
  <si>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</si>
  <si>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</si>
  <si>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</si>
  <si>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</si>
  <si>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Count</t>
  </si>
  <si>
    <t>Sum</t>
  </si>
  <si>
    <t>Average</t>
  </si>
  <si>
    <t>Column 1</t>
  </si>
  <si>
    <t>Column 2</t>
  </si>
  <si>
    <t>Source of Variation</t>
  </si>
  <si>
    <t>F crit</t>
  </si>
  <si>
    <t>Between Groups</t>
  </si>
  <si>
    <t>Within Groups</t>
  </si>
  <si>
    <t>R² = 0.9486</t>
  </si>
  <si>
    <t>3rd order</t>
  </si>
  <si>
    <t>R² = 0.7825</t>
  </si>
  <si>
    <t>2nd</t>
  </si>
  <si>
    <t>1st</t>
  </si>
  <si>
    <t>standard error</t>
  </si>
  <si>
    <t>Variable</t>
  </si>
  <si>
    <t>Model 1 (1st order)</t>
  </si>
  <si>
    <t>Model 2 (2nd order)</t>
  </si>
  <si>
    <t>Model 3 (3rd order)</t>
  </si>
  <si>
    <t>Model 4 (4th order)</t>
  </si>
  <si>
    <t>x</t>
  </si>
  <si>
    <t>x^2</t>
  </si>
  <si>
    <t>x^3</t>
  </si>
  <si>
    <t>x^4</t>
  </si>
  <si>
    <t>N</t>
  </si>
  <si>
    <t>r^2</t>
  </si>
  <si>
    <t>(std. error in parentheses)</t>
  </si>
  <si>
    <t>Significance</t>
  </si>
  <si>
    <t>-</t>
  </si>
  <si>
    <t>"-4.5576*A1^2 + 35.019*A1 - 0.928</t>
  </si>
  <si>
    <t>"=1.0781*A1^3 - 17.218*A1^2 + 71.931*A1 - 15.297"</t>
  </si>
  <si>
    <t>lm(formula = Share ~ Price + I(Price^2))</t>
  </si>
  <si>
    <t>Residuals:</t>
  </si>
  <si>
    <t xml:space="preserve">    Min      1Q  Median      3Q     Max </t>
  </si>
  <si>
    <t xml:space="preserve">-16.463  -7.574  -5.579   8.193  24.842 </t>
  </si>
  <si>
    <t>Coefficients:</t>
  </si>
  <si>
    <t xml:space="preserve">            Estimate Std. Error t value Pr(&gt;|t|)    </t>
  </si>
  <si>
    <t xml:space="preserve">(Intercept)  -0.9280     3.1403  -0.296    0.769    </t>
  </si>
  <si>
    <t>Price        35.0189     2.8917  12.110 4.00e-15 ***</t>
  </si>
  <si>
    <t>I(Price^2)   -4.5576     0.3788 -12.033 4.91e-15 ***</t>
  </si>
  <si>
    <t>---</t>
  </si>
  <si>
    <t xml:space="preserve">Signif. codes:  0 ‘***’ 0.001 ‘**’ 0.01 ‘*’ 0.05 ‘.’ 0.1 ‘ ’ 1 </t>
  </si>
  <si>
    <t>Residual standard error: 11.78 on 41 degrees of freedom</t>
  </si>
  <si>
    <t xml:space="preserve">Multiple R-squared: 0.7825,     Adjusted R-squared: 0.7719 </t>
  </si>
  <si>
    <t xml:space="preserve">F-statistic: 73.77 on 2 and 41 DF,  p-value: 2.61e-14 </t>
  </si>
  <si>
    <t>-15.297(1.997)***</t>
  </si>
  <si>
    <t>-25.884(0.9949)***</t>
  </si>
  <si>
    <t>-0.2941(0.01849)***</t>
  </si>
  <si>
    <t>5.7446(0.2956)***</t>
  </si>
  <si>
    <t>-40.396(1.516)***</t>
  </si>
  <si>
    <t>108.91(2.670)***</t>
  </si>
  <si>
    <t>Intercept</t>
  </si>
  <si>
    <t>71.931(3.546)***</t>
  </si>
  <si>
    <t>* 0.05</t>
  </si>
  <si>
    <t>** 0.01</t>
  </si>
  <si>
    <t>*** 0.001</t>
  </si>
  <si>
    <t>-17.218(1.129)***</t>
  </si>
  <si>
    <t>1.0781(0.09485)***</t>
  </si>
  <si>
    <t>-0.9280(3.140)</t>
  </si>
  <si>
    <t>35.019(2.892)***</t>
  </si>
  <si>
    <t>-4.5576(0.3788)***</t>
  </si>
  <si>
    <t>21.46(5.321)***</t>
  </si>
  <si>
    <t>1.017(1.291)</t>
  </si>
  <si>
    <t>log(x)</t>
  </si>
  <si>
    <t>Time Savings vs Price</t>
  </si>
  <si>
    <t>Variance Difference vs Price</t>
  </si>
  <si>
    <t>Onset</t>
  </si>
  <si>
    <t>Offset</t>
  </si>
  <si>
    <t>0.9566(0.03867)***</t>
  </si>
  <si>
    <t>1.1413(0.05006)***</t>
  </si>
  <si>
    <t>1.6636(0.01664)***</t>
  </si>
  <si>
    <t>0.926(0.02139)***</t>
  </si>
  <si>
    <t>0.5527(0.05972)***</t>
  </si>
  <si>
    <t>1.2587(0.07732)***</t>
  </si>
  <si>
    <t>1.2965(0.02912)***</t>
  </si>
  <si>
    <t>0.7953(0.03743)***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</si>
</sst>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9" fillId="0" borderId="11" xfId="0" applyFont="1" applyFill="1" applyBorder="1" applyAlignment="1">
      <alignment horizontal="center"/>
    </xf>
    <xf numFmtId="0" fontId="20" fillId="0" borderId="0" xfId="0" applyFont="1" applyAlignment="1">
      <alignment horizontal="center" vertical="center" readingOrder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worksheet" Target="worksheets/sheet3.xml"/><Relationship Id="rId10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elasticity_points_2_offset_2!$A$1:$A$44</c:f>
              <c:numCache>
                <c:formatCode>General</c:formatCode>
                <c:ptCount val="4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0.25653310104529597</c:v>
                </c:pt>
                <c:pt idx="10">
                  <c:v>0.27221254355400598</c:v>
                </c:pt>
                <c:pt idx="11">
                  <c:v>0.28919860627177701</c:v>
                </c:pt>
                <c:pt idx="12">
                  <c:v>0.32273519163762998</c:v>
                </c:pt>
                <c:pt idx="13">
                  <c:v>0.35540069686411102</c:v>
                </c:pt>
                <c:pt idx="14">
                  <c:v>0.401567944250871</c:v>
                </c:pt>
                <c:pt idx="15">
                  <c:v>0.47778745644599302</c:v>
                </c:pt>
                <c:pt idx="16">
                  <c:v>0.547909407665505</c:v>
                </c:pt>
                <c:pt idx="17">
                  <c:v>0.65592334494773497</c:v>
                </c:pt>
                <c:pt idx="18">
                  <c:v>0.76480836236933802</c:v>
                </c:pt>
                <c:pt idx="19">
                  <c:v>0.89634146341463405</c:v>
                </c:pt>
                <c:pt idx="20">
                  <c:v>1.06620209059233</c:v>
                </c:pt>
                <c:pt idx="21">
                  <c:v>1.27482578397212</c:v>
                </c:pt>
                <c:pt idx="22">
                  <c:v>1.53527874564459</c:v>
                </c:pt>
                <c:pt idx="23">
                  <c:v>1.8432055749128899</c:v>
                </c:pt>
                <c:pt idx="24">
                  <c:v>2.1946864111498199</c:v>
                </c:pt>
                <c:pt idx="25">
                  <c:v>2.6254355400696801</c:v>
                </c:pt>
                <c:pt idx="26">
                  <c:v>3.13153310104529</c:v>
                </c:pt>
                <c:pt idx="27">
                  <c:v>3.65418118466898</c:v>
                </c:pt>
                <c:pt idx="28">
                  <c:v>4.1737804878048701</c:v>
                </c:pt>
                <c:pt idx="29">
                  <c:v>4.6729094076655002</c:v>
                </c:pt>
                <c:pt idx="30">
                  <c:v>5.1132404181184601</c:v>
                </c:pt>
                <c:pt idx="31">
                  <c:v>5.5374564459930298</c:v>
                </c:pt>
                <c:pt idx="32">
                  <c:v>5.8784843205574902</c:v>
                </c:pt>
                <c:pt idx="33">
                  <c:v>6.1785714285714199</c:v>
                </c:pt>
                <c:pt idx="34">
                  <c:v>6.40418118466898</c:v>
                </c:pt>
                <c:pt idx="35">
                  <c:v>6.6385017421602699</c:v>
                </c:pt>
                <c:pt idx="36">
                  <c:v>6.8523519163762998</c:v>
                </c:pt>
                <c:pt idx="37">
                  <c:v>7.0753484320557396</c:v>
                </c:pt>
                <c:pt idx="38">
                  <c:v>7.2770034843205504</c:v>
                </c:pt>
                <c:pt idx="39">
                  <c:v>7.4455574912891898</c:v>
                </c:pt>
                <c:pt idx="40">
                  <c:v>7.58928571428571</c:v>
                </c:pt>
                <c:pt idx="41">
                  <c:v>7.71036585365853</c:v>
                </c:pt>
                <c:pt idx="42">
                  <c:v>7.8196864111498199</c:v>
                </c:pt>
                <c:pt idx="43">
                  <c:v>7.9111498257839701</c:v>
                </c:pt>
              </c:numCache>
            </c:numRef>
          </c:xVal>
          <c:yVal>
            <c:numRef>
              <c:f>elasticity_points_2_offset_2!$B$1:$B$44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0.87108013937282203</c:v>
                </c:pt>
                <c:pt idx="13">
                  <c:v>3.8327526132404102</c:v>
                </c:pt>
                <c:pt idx="14">
                  <c:v>7.3170731707316996</c:v>
                </c:pt>
                <c:pt idx="15">
                  <c:v>16.2020905923344</c:v>
                </c:pt>
                <c:pt idx="16">
                  <c:v>21.428571428571399</c:v>
                </c:pt>
                <c:pt idx="17">
                  <c:v>31.5331010452961</c:v>
                </c:pt>
                <c:pt idx="18">
                  <c:v>37.456445993031302</c:v>
                </c:pt>
                <c:pt idx="19">
                  <c:v>46.689895470383199</c:v>
                </c:pt>
                <c:pt idx="20">
                  <c:v>55.052264808362303</c:v>
                </c:pt>
                <c:pt idx="21">
                  <c:v>61.149825783972098</c:v>
                </c:pt>
                <c:pt idx="22">
                  <c:v>66.724738675958093</c:v>
                </c:pt>
                <c:pt idx="23">
                  <c:v>69.163763066202094</c:v>
                </c:pt>
                <c:pt idx="24">
                  <c:v>68.466898954703794</c:v>
                </c:pt>
                <c:pt idx="25">
                  <c:v>68.466898954703794</c:v>
                </c:pt>
                <c:pt idx="26">
                  <c:v>65.156794425087099</c:v>
                </c:pt>
                <c:pt idx="27">
                  <c:v>60.104529616724697</c:v>
                </c:pt>
                <c:pt idx="28">
                  <c:v>54.529616724738602</c:v>
                </c:pt>
                <c:pt idx="29">
                  <c:v>50.696864111498201</c:v>
                </c:pt>
                <c:pt idx="30">
                  <c:v>42.508710801393697</c:v>
                </c:pt>
                <c:pt idx="31">
                  <c:v>37.804878048780402</c:v>
                </c:pt>
                <c:pt idx="32">
                  <c:v>33.7979094076655</c:v>
                </c:pt>
                <c:pt idx="33">
                  <c:v>31.8815331010452</c:v>
                </c:pt>
                <c:pt idx="34">
                  <c:v>28.745644599303098</c:v>
                </c:pt>
                <c:pt idx="35">
                  <c:v>27.003484320557401</c:v>
                </c:pt>
                <c:pt idx="36">
                  <c:v>22.473867595818799</c:v>
                </c:pt>
                <c:pt idx="37">
                  <c:v>18.292682926829201</c:v>
                </c:pt>
                <c:pt idx="38">
                  <c:v>14.9825783972125</c:v>
                </c:pt>
                <c:pt idx="39">
                  <c:v>12.0209059233449</c:v>
                </c:pt>
                <c:pt idx="40">
                  <c:v>9.7560975609756095</c:v>
                </c:pt>
                <c:pt idx="41">
                  <c:v>6.09756097560975</c:v>
                </c:pt>
                <c:pt idx="42">
                  <c:v>3.4843205574912801</c:v>
                </c:pt>
                <c:pt idx="43">
                  <c:v>1.7421602787456401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0000"/>
        <c:axId val="38806272"/>
      </c:scatterChart>
      <c:valAx>
        <c:axId val="38800000"/>
        <c:scaling>
          <c:orientation val="minMax"/>
          <c:max val="8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Price ($)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38806272"/>
        <c:crosses val="autoZero"/>
        <c:crossBetween val="midCat"/>
      </c:valAx>
      <c:valAx>
        <c:axId val="3880627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HOT Lane Share %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38800000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Onset</c:v>
          </c:tx>
          <c:spPr>
            <a:ln w="28575">
              <a:noFill/>
            </a:ln>
          </c:spPr>
          <c:xVal>
            <c:numRef>
              <c:f>elasticity_points_2_offset_2!$A$13:$A$44</c:f>
              <c:numCache>
                <c:formatCode>General</c:formatCode>
                <c:ptCount val="32"/>
                <c:pt idx="0">
                  <c:v>0.32273519163762998</c:v>
                </c:pt>
                <c:pt idx="1">
                  <c:v>0.35540069686411102</c:v>
                </c:pt>
                <c:pt idx="2">
                  <c:v>0.401567944250871</c:v>
                </c:pt>
                <c:pt idx="3">
                  <c:v>0.47778745644599302</c:v>
                </c:pt>
                <c:pt idx="4">
                  <c:v>0.547909407665505</c:v>
                </c:pt>
                <c:pt idx="5">
                  <c:v>0.65592334494773497</c:v>
                </c:pt>
                <c:pt idx="6">
                  <c:v>0.76480836236933802</c:v>
                </c:pt>
                <c:pt idx="7">
                  <c:v>0.89634146341463405</c:v>
                </c:pt>
                <c:pt idx="8">
                  <c:v>1.06620209059233</c:v>
                </c:pt>
                <c:pt idx="9">
                  <c:v>1.27482578397212</c:v>
                </c:pt>
                <c:pt idx="10">
                  <c:v>1.53527874564459</c:v>
                </c:pt>
                <c:pt idx="11">
                  <c:v>1.8432055749128899</c:v>
                </c:pt>
                <c:pt idx="12">
                  <c:v>2.1946864111498199</c:v>
                </c:pt>
                <c:pt idx="13">
                  <c:v>2.6254355400696801</c:v>
                </c:pt>
                <c:pt idx="14">
                  <c:v>3.13153310104529</c:v>
                </c:pt>
                <c:pt idx="15">
                  <c:v>3.65418118466898</c:v>
                </c:pt>
                <c:pt idx="16">
                  <c:v>4.1737804878048701</c:v>
                </c:pt>
                <c:pt idx="17">
                  <c:v>4.6729094076655002</c:v>
                </c:pt>
                <c:pt idx="18">
                  <c:v>5.1132404181184601</c:v>
                </c:pt>
                <c:pt idx="19">
                  <c:v>5.5374564459930298</c:v>
                </c:pt>
                <c:pt idx="20">
                  <c:v>5.8784843205574902</c:v>
                </c:pt>
                <c:pt idx="21">
                  <c:v>6.1785714285714199</c:v>
                </c:pt>
                <c:pt idx="22">
                  <c:v>6.40418118466898</c:v>
                </c:pt>
                <c:pt idx="23">
                  <c:v>6.6385017421602699</c:v>
                </c:pt>
                <c:pt idx="24">
                  <c:v>6.8523519163762998</c:v>
                </c:pt>
                <c:pt idx="25">
                  <c:v>7.0753484320557396</c:v>
                </c:pt>
                <c:pt idx="26">
                  <c:v>7.2770034843205504</c:v>
                </c:pt>
                <c:pt idx="27">
                  <c:v>7.4455574912891898</c:v>
                </c:pt>
                <c:pt idx="28">
                  <c:v>7.58928571428571</c:v>
                </c:pt>
                <c:pt idx="29">
                  <c:v>7.71036585365853</c:v>
                </c:pt>
                <c:pt idx="30">
                  <c:v>7.8196864111498199</c:v>
                </c:pt>
                <c:pt idx="31">
                  <c:v>7.9111498257839701</c:v>
                </c:pt>
              </c:numCache>
            </c:numRef>
          </c:xVal>
          <c:yVal>
            <c:numRef>
              <c:f>elasticity_points_2_offset_2!$E$13:$E$44</c:f>
              <c:numCache>
                <c:formatCode>General</c:formatCode>
                <c:ptCount val="32"/>
                <c:pt idx="0">
                  <c:v>31.340991948462797</c:v>
                </c:pt>
                <c:pt idx="1">
                  <c:v>7.6333510969486484</c:v>
                </c:pt>
                <c:pt idx="2">
                  <c:v>4.3448927232669492</c:v>
                </c:pt>
                <c:pt idx="3">
                  <c:v>2.1855788371550111</c:v>
                </c:pt>
                <c:pt idx="4">
                  <c:v>1.7802098906322046</c:v>
                </c:pt>
                <c:pt idx="5">
                  <c:v>1.3104540278530852</c:v>
                </c:pt>
                <c:pt idx="6">
                  <c:v>1.1572024846519151</c:v>
                </c:pt>
                <c:pt idx="7">
                  <c:v>0.95013019685073108</c:v>
                </c:pt>
                <c:pt idx="8">
                  <c:v>0.79278614621585286</c:v>
                </c:pt>
                <c:pt idx="9">
                  <c:v>0.65638650363344364</c:v>
                </c:pt>
                <c:pt idx="10">
                  <c:v>0.48862415504251228</c:v>
                </c:pt>
                <c:pt idx="11">
                  <c:v>0.29787116947433795</c:v>
                </c:pt>
                <c:pt idx="12">
                  <c:v>6.9567957201180683E-2</c:v>
                </c:pt>
                <c:pt idx="13">
                  <c:v>-0.21866121841528544</c:v>
                </c:pt>
                <c:pt idx="14">
                  <c:v>-0.53906171405778636</c:v>
                </c:pt>
                <c:pt idx="15">
                  <c:v>-0.82664289033127814</c:v>
                </c:pt>
                <c:pt idx="16">
                  <c:v>-1.0419313392983454</c:v>
                </c:pt>
                <c:pt idx="17">
                  <c:v>-1.137657904577275</c:v>
                </c:pt>
                <c:pt idx="18">
                  <c:v>-1.3095018358978785</c:v>
                </c:pt>
                <c:pt idx="19">
                  <c:v>-1.4317161626196224</c:v>
                </c:pt>
                <c:pt idx="20">
                  <c:v>-1.6449648694079562</c:v>
                </c:pt>
                <c:pt idx="21">
                  <c:v>-1.9079911897189095</c:v>
                </c:pt>
                <c:pt idx="22">
                  <c:v>-2.3768192670227895</c:v>
                </c:pt>
                <c:pt idx="23">
                  <c:v>-2.9754307545865792</c:v>
                </c:pt>
                <c:pt idx="24">
                  <c:v>-4.2698363959261112</c:v>
                </c:pt>
                <c:pt idx="25">
                  <c:v>-6.445387304609115</c:v>
                </c:pt>
                <c:pt idx="26">
                  <c:v>-9.5827241629819753</c:v>
                </c:pt>
                <c:pt idx="27">
                  <c:v>-14.132574555150116</c:v>
                </c:pt>
                <c:pt idx="28">
                  <c:v>-20.112126253915193</c:v>
                </c:pt>
                <c:pt idx="29">
                  <c:v>-36.314265027699989</c:v>
                </c:pt>
                <c:pt idx="30">
                  <c:v>-70.817406461855185</c:v>
                </c:pt>
                <c:pt idx="31">
                  <c:v>-154.93148991671703</c:v>
                </c:pt>
              </c:numCache>
            </c:numRef>
          </c:yVal>
          <c:smooth val="0"/>
        </c:ser>
        <c:ser>
          <c:idx val="1"/>
          <c:order val="1"/>
          <c:tx>
            <c:v>Offset</c:v>
          </c:tx>
          <c:spPr>
            <a:ln w="28575">
              <a:noFill/>
            </a:ln>
          </c:spPr>
          <c:xVal>
            <c:numRef>
              <c:f>elasticity_points_2_offset_2!$R:$R</c:f>
              <c:numCache>
                <c:formatCode>General</c:formatCode>
                <c:ptCount val="104857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0.25653310104529597</c:v>
                </c:pt>
                <c:pt idx="10">
                  <c:v>0.27221254355400598</c:v>
                </c:pt>
                <c:pt idx="11">
                  <c:v>0.28919860627177701</c:v>
                </c:pt>
                <c:pt idx="12">
                  <c:v>0.32273519163762998</c:v>
                </c:pt>
                <c:pt idx="13">
                  <c:v>0.35540069686411102</c:v>
                </c:pt>
                <c:pt idx="14">
                  <c:v>0.401567944250871</c:v>
                </c:pt>
                <c:pt idx="15">
                  <c:v>0.47778745644599302</c:v>
                </c:pt>
                <c:pt idx="16">
                  <c:v>0.547909407665505</c:v>
                </c:pt>
                <c:pt idx="17">
                  <c:v>0.65592334494773497</c:v>
                </c:pt>
                <c:pt idx="18">
                  <c:v>0.76480836236933802</c:v>
                </c:pt>
                <c:pt idx="19">
                  <c:v>0.89634146341463405</c:v>
                </c:pt>
                <c:pt idx="20">
                  <c:v>1.06620209059233</c:v>
                </c:pt>
                <c:pt idx="21">
                  <c:v>1.27482578397212</c:v>
                </c:pt>
                <c:pt idx="22">
                  <c:v>1.53527874564459</c:v>
                </c:pt>
                <c:pt idx="23">
                  <c:v>1.8432055749128899</c:v>
                </c:pt>
                <c:pt idx="24">
                  <c:v>2.1946864111498199</c:v>
                </c:pt>
                <c:pt idx="25">
                  <c:v>2.6254355400696801</c:v>
                </c:pt>
                <c:pt idx="26">
                  <c:v>3.13153310104529</c:v>
                </c:pt>
                <c:pt idx="27">
                  <c:v>3.65418118466898</c:v>
                </c:pt>
                <c:pt idx="28">
                  <c:v>4.1737804878048701</c:v>
                </c:pt>
                <c:pt idx="29">
                  <c:v>4.6729094076655002</c:v>
                </c:pt>
                <c:pt idx="30">
                  <c:v>5.1132404181184601</c:v>
                </c:pt>
                <c:pt idx="31">
                  <c:v>5.5374564459930298</c:v>
                </c:pt>
                <c:pt idx="32">
                  <c:v>5.8784843205574902</c:v>
                </c:pt>
                <c:pt idx="33">
                  <c:v>6.1785714285714199</c:v>
                </c:pt>
                <c:pt idx="34">
                  <c:v>6.40418118466898</c:v>
                </c:pt>
                <c:pt idx="35">
                  <c:v>6.6385017421602699</c:v>
                </c:pt>
                <c:pt idx="36">
                  <c:v>6.8523519163762998</c:v>
                </c:pt>
                <c:pt idx="37">
                  <c:v>7.0753484320557396</c:v>
                </c:pt>
                <c:pt idx="38">
                  <c:v>7.2770034843205504</c:v>
                </c:pt>
                <c:pt idx="39">
                  <c:v>7.4455574912891898</c:v>
                </c:pt>
                <c:pt idx="40">
                  <c:v>7.58928571428571</c:v>
                </c:pt>
                <c:pt idx="41">
                  <c:v>7.71036585365853</c:v>
                </c:pt>
                <c:pt idx="42">
                  <c:v>7.7865853658536501</c:v>
                </c:pt>
                <c:pt idx="43">
                  <c:v>7.8893728222996504</c:v>
                </c:pt>
                <c:pt idx="44">
                  <c:v>7.9385888501742103</c:v>
                </c:pt>
              </c:numCache>
            </c:numRef>
          </c:xVal>
          <c:yVal>
            <c:numRef>
              <c:f>elasticity_points_2_offset_2!$S:$S</c:f>
              <c:numCache>
                <c:formatCode>General</c:formatCode>
                <c:ptCount val="1048576"/>
                <c:pt idx="0">
                  <c:v>0.15207650196379804</c:v>
                </c:pt>
                <c:pt idx="1">
                  <c:v>0.13189573393068721</c:v>
                </c:pt>
                <c:pt idx="2">
                  <c:v>0.14457142784090915</c:v>
                </c:pt>
                <c:pt idx="3">
                  <c:v>0.1388029918173318</c:v>
                </c:pt>
                <c:pt idx="4">
                  <c:v>0.13984924552449762</c:v>
                </c:pt>
                <c:pt idx="5">
                  <c:v>0.13709359536637947</c:v>
                </c:pt>
                <c:pt idx="6">
                  <c:v>0.13379807624699525</c:v>
                </c:pt>
                <c:pt idx="7">
                  <c:v>0.13284009479415279</c:v>
                </c:pt>
                <c:pt idx="8">
                  <c:v>0.13575609687500007</c:v>
                </c:pt>
                <c:pt idx="9">
                  <c:v>0.137498863246167</c:v>
                </c:pt>
                <c:pt idx="10">
                  <c:v>0.14269869898428258</c:v>
                </c:pt>
                <c:pt idx="11">
                  <c:v>0.14416093794713655</c:v>
                </c:pt>
                <c:pt idx="12">
                  <c:v>0.14416649664721806</c:v>
                </c:pt>
                <c:pt idx="13">
                  <c:v>0.15681039731581581</c:v>
                </c:pt>
                <c:pt idx="14">
                  <c:v>0.15301995672141644</c:v>
                </c:pt>
                <c:pt idx="15">
                  <c:v>0.16257750117362435</c:v>
                </c:pt>
                <c:pt idx="16">
                  <c:v>0.16038217483655798</c:v>
                </c:pt>
                <c:pt idx="17">
                  <c:v>0.15597748523985788</c:v>
                </c:pt>
                <c:pt idx="18">
                  <c:v>0.14415632105602241</c:v>
                </c:pt>
                <c:pt idx="19">
                  <c:v>0.12228903734678327</c:v>
                </c:pt>
                <c:pt idx="20">
                  <c:v>8.2763042802311643E-2</c:v>
                </c:pt>
                <c:pt idx="21">
                  <c:v>1.7578787121114929E-2</c:v>
                </c:pt>
                <c:pt idx="22">
                  <c:v>-8.1907477389881855E-2</c:v>
                </c:pt>
                <c:pt idx="23">
                  <c:v>-0.22636775625371272</c:v>
                </c:pt>
                <c:pt idx="24">
                  <c:v>-0.42049089291829078</c:v>
                </c:pt>
                <c:pt idx="25">
                  <c:v>-0.6884860740511265</c:v>
                </c:pt>
                <c:pt idx="26">
                  <c:v>-0.99269009845829781</c:v>
                </c:pt>
                <c:pt idx="27">
                  <c:v>-1.2149094799328624</c:v>
                </c:pt>
                <c:pt idx="28">
                  <c:v>-1.4092995466750005</c:v>
                </c:pt>
                <c:pt idx="29">
                  <c:v>-1.5768803399746798</c:v>
                </c:pt>
                <c:pt idx="30">
                  <c:v>-1.6135280972646584</c:v>
                </c:pt>
                <c:pt idx="31">
                  <c:v>-1.6079372139491359</c:v>
                </c:pt>
                <c:pt idx="32">
                  <c:v>-1.7793876759477547</c:v>
                </c:pt>
                <c:pt idx="33">
                  <c:v>-2.0419325619050506</c:v>
                </c:pt>
                <c:pt idx="34">
                  <c:v>-2.6326973531203817</c:v>
                </c:pt>
                <c:pt idx="35">
                  <c:v>-3.9227895870646798</c:v>
                </c:pt>
                <c:pt idx="36">
                  <c:v>-5.5025998887688168</c:v>
                </c:pt>
                <c:pt idx="37">
                  <c:v>-8.7531219106268878</c:v>
                </c:pt>
                <c:pt idx="38">
                  <c:v>-14.4960978320221</c:v>
                </c:pt>
                <c:pt idx="39">
                  <c:v>-27.565964735263634</c:v>
                </c:pt>
                <c:pt idx="40">
                  <c:v>-47.943915122767692</c:v>
                </c:pt>
                <c:pt idx="41">
                  <c:v>-108.55569186765463</c:v>
                </c:pt>
                <c:pt idx="42">
                  <c:v>-146.6339743055868</c:v>
                </c:pt>
                <c:pt idx="43">
                  <c:v>-325.28035631675812</c:v>
                </c:pt>
                <c:pt idx="4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6464"/>
        <c:axId val="39328384"/>
      </c:scatterChart>
      <c:valAx>
        <c:axId val="39326464"/>
        <c:scaling>
          <c:orientation val="minMax"/>
          <c:max val="8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Price ($)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39328384"/>
        <c:crosses val="autoZero"/>
        <c:crossBetween val="midCat"/>
      </c:valAx>
      <c:valAx>
        <c:axId val="39328384"/>
        <c:scaling>
          <c:orientation val="minMax"/>
          <c:max val="5"/>
          <c:min val="-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Elasticity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39326464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elasticity_points_2_offset_2!$B$1:$B$44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0.87108013937282203</c:v>
                </c:pt>
                <c:pt idx="13">
                  <c:v>3.8327526132404102</c:v>
                </c:pt>
                <c:pt idx="14">
                  <c:v>7.3170731707316996</c:v>
                </c:pt>
                <c:pt idx="15">
                  <c:v>16.2020905923344</c:v>
                </c:pt>
                <c:pt idx="16">
                  <c:v>21.428571428571399</c:v>
                </c:pt>
                <c:pt idx="17">
                  <c:v>31.5331010452961</c:v>
                </c:pt>
                <c:pt idx="18">
                  <c:v>37.456445993031302</c:v>
                </c:pt>
                <c:pt idx="19">
                  <c:v>46.689895470383199</c:v>
                </c:pt>
                <c:pt idx="20">
                  <c:v>55.052264808362303</c:v>
                </c:pt>
                <c:pt idx="21">
                  <c:v>61.149825783972098</c:v>
                </c:pt>
                <c:pt idx="22">
                  <c:v>66.724738675958093</c:v>
                </c:pt>
                <c:pt idx="23">
                  <c:v>69.163763066202094</c:v>
                </c:pt>
                <c:pt idx="24">
                  <c:v>68.466898954703794</c:v>
                </c:pt>
                <c:pt idx="25">
                  <c:v>68.466898954703794</c:v>
                </c:pt>
                <c:pt idx="26">
                  <c:v>65.156794425087099</c:v>
                </c:pt>
                <c:pt idx="27">
                  <c:v>60.104529616724697</c:v>
                </c:pt>
                <c:pt idx="28">
                  <c:v>54.529616724738602</c:v>
                </c:pt>
                <c:pt idx="29">
                  <c:v>50.696864111498201</c:v>
                </c:pt>
                <c:pt idx="30">
                  <c:v>42.508710801393697</c:v>
                </c:pt>
                <c:pt idx="31">
                  <c:v>37.804878048780402</c:v>
                </c:pt>
                <c:pt idx="32">
                  <c:v>33.7979094076655</c:v>
                </c:pt>
                <c:pt idx="33">
                  <c:v>31.8815331010452</c:v>
                </c:pt>
                <c:pt idx="34">
                  <c:v>28.745644599303098</c:v>
                </c:pt>
                <c:pt idx="35">
                  <c:v>27.003484320557401</c:v>
                </c:pt>
                <c:pt idx="36">
                  <c:v>22.473867595818799</c:v>
                </c:pt>
                <c:pt idx="37">
                  <c:v>18.292682926829201</c:v>
                </c:pt>
                <c:pt idx="38">
                  <c:v>14.9825783972125</c:v>
                </c:pt>
                <c:pt idx="39">
                  <c:v>12.0209059233449</c:v>
                </c:pt>
                <c:pt idx="40">
                  <c:v>9.7560975609756095</c:v>
                </c:pt>
                <c:pt idx="41">
                  <c:v>6.09756097560975</c:v>
                </c:pt>
                <c:pt idx="42">
                  <c:v>3.4843205574912801</c:v>
                </c:pt>
                <c:pt idx="43">
                  <c:v>1.7421602787456401</c:v>
                </c:pt>
              </c:numCache>
            </c:numRef>
          </c:xVal>
          <c:yVal>
            <c:numRef>
              <c:f>elasticity_points_2_offset_2!$A$1:$A$44</c:f>
              <c:numCache>
                <c:formatCode>General</c:formatCode>
                <c:ptCount val="4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0.25653310104529597</c:v>
                </c:pt>
                <c:pt idx="10">
                  <c:v>0.27221254355400598</c:v>
                </c:pt>
                <c:pt idx="11">
                  <c:v>0.28919860627177701</c:v>
                </c:pt>
                <c:pt idx="12">
                  <c:v>0.32273519163762998</c:v>
                </c:pt>
                <c:pt idx="13">
                  <c:v>0.35540069686411102</c:v>
                </c:pt>
                <c:pt idx="14">
                  <c:v>0.401567944250871</c:v>
                </c:pt>
                <c:pt idx="15">
                  <c:v>0.47778745644599302</c:v>
                </c:pt>
                <c:pt idx="16">
                  <c:v>0.547909407665505</c:v>
                </c:pt>
                <c:pt idx="17">
                  <c:v>0.65592334494773497</c:v>
                </c:pt>
                <c:pt idx="18">
                  <c:v>0.76480836236933802</c:v>
                </c:pt>
                <c:pt idx="19">
                  <c:v>0.89634146341463405</c:v>
                </c:pt>
                <c:pt idx="20">
                  <c:v>1.06620209059233</c:v>
                </c:pt>
                <c:pt idx="21">
                  <c:v>1.27482578397212</c:v>
                </c:pt>
                <c:pt idx="22">
                  <c:v>1.53527874564459</c:v>
                </c:pt>
                <c:pt idx="23">
                  <c:v>1.8432055749128899</c:v>
                </c:pt>
                <c:pt idx="24">
                  <c:v>2.1946864111498199</c:v>
                </c:pt>
                <c:pt idx="25">
                  <c:v>2.6254355400696801</c:v>
                </c:pt>
                <c:pt idx="26">
                  <c:v>3.13153310104529</c:v>
                </c:pt>
                <c:pt idx="27">
                  <c:v>3.65418118466898</c:v>
                </c:pt>
                <c:pt idx="28">
                  <c:v>4.1737804878048701</c:v>
                </c:pt>
                <c:pt idx="29">
                  <c:v>4.6729094076655002</c:v>
                </c:pt>
                <c:pt idx="30">
                  <c:v>5.1132404181184601</c:v>
                </c:pt>
                <c:pt idx="31">
                  <c:v>5.5374564459930298</c:v>
                </c:pt>
                <c:pt idx="32">
                  <c:v>5.8784843205574902</c:v>
                </c:pt>
                <c:pt idx="33">
                  <c:v>6.1785714285714199</c:v>
                </c:pt>
                <c:pt idx="34">
                  <c:v>6.40418118466898</c:v>
                </c:pt>
                <c:pt idx="35">
                  <c:v>6.6385017421602699</c:v>
                </c:pt>
                <c:pt idx="36">
                  <c:v>6.8523519163762998</c:v>
                </c:pt>
                <c:pt idx="37">
                  <c:v>7.0753484320557396</c:v>
                </c:pt>
                <c:pt idx="38">
                  <c:v>7.2770034843205504</c:v>
                </c:pt>
                <c:pt idx="39">
                  <c:v>7.4455574912891898</c:v>
                </c:pt>
                <c:pt idx="40">
                  <c:v>7.58928571428571</c:v>
                </c:pt>
                <c:pt idx="41">
                  <c:v>7.71036585365853</c:v>
                </c:pt>
                <c:pt idx="42">
                  <c:v>7.8196864111498199</c:v>
                </c:pt>
                <c:pt idx="43">
                  <c:v>7.9111498257839701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58912"/>
        <c:axId val="39160448"/>
      </c:scatterChart>
      <c:valAx>
        <c:axId val="3915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160448"/>
        <c:crosses val="autoZero"/>
        <c:crossBetween val="midCat"/>
      </c:valAx>
      <c:valAx>
        <c:axId val="3916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1589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8" workbookViewId="0" zoomToFit="1"/>
  </sheetViews>
  <pageMargins left="0" right="0" top="0" bottom="0" header="0" footer="0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08" workbookViewId="0" zoomToFit="1"/>
  </sheetViews>
  <pageMargins left="0" right="0" top="0" bottom="0" header="0" footer="0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382500" cy="736423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382500" cy="736423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561975</xdr:colOff>
      <xdr:row>2</xdr:row>
      <xdr:rowOff>176212</xdr:rowOff>
    </xdr:from>
    <xdr:to>
      <xdr:col>30</xdr:col>
      <xdr:colOff>257175</xdr:colOff>
      <xdr:row>17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4" sqref="E4"/>
    </sheetView>
  </sheetViews>
  <sheetFormatPr defaultRowHeight="15" x14ac:dyDescent="0.25"/>
  <cols>
    <col min="1" max="1" width="18.42578125" customWidth="1"/>
    <col min="2" max="2" width="16.140625" customWidth="1"/>
  </cols>
  <sheetData>
    <row r="1" spans="1:5" x14ac:dyDescent="0.25">
      <c r="A1" t="s">
        <v>10</v>
      </c>
    </row>
    <row r="2" spans="1:5" ht="15.75" thickBot="1" x14ac:dyDescent="0.3"/>
    <row r="3" spans="1:5" x14ac:dyDescent="0.25">
      <c r="A3" s="3"/>
      <c r="B3" s="3" t="s">
        <v>11</v>
      </c>
      <c r="C3" s="3" t="s">
        <v>12</v>
      </c>
      <c r="E3" t="s">
        <v>38</v>
      </c>
    </row>
    <row r="4" spans="1:5" x14ac:dyDescent="0.25">
      <c r="A4" s="1" t="s">
        <v>13</v>
      </c>
      <c r="B4" s="1">
        <v>24.441716819765567</v>
      </c>
      <c r="C4" s="1">
        <v>24.432674242828515</v>
      </c>
      <c r="E4">
        <f>(B4-C4)/B10</f>
        <v>5.2516993346291256</v>
      </c>
    </row>
    <row r="5" spans="1:5" x14ac:dyDescent="0.25">
      <c r="A5" s="1" t="s">
        <v>14</v>
      </c>
      <c r="B5" s="1">
        <v>608.65156645556453</v>
      </c>
      <c r="C5" s="1">
        <v>604.88365320357161</v>
      </c>
    </row>
    <row r="6" spans="1:5" x14ac:dyDescent="0.25">
      <c r="A6" s="1" t="s">
        <v>1</v>
      </c>
      <c r="B6" s="1">
        <v>44</v>
      </c>
      <c r="C6" s="1">
        <v>44</v>
      </c>
    </row>
    <row r="7" spans="1:5" x14ac:dyDescent="0.25">
      <c r="A7" s="1" t="s">
        <v>15</v>
      </c>
      <c r="B7" s="1">
        <v>606.76760982956807</v>
      </c>
      <c r="C7" s="1"/>
      <c r="E7">
        <f>(B7*2/44)^0.5</f>
        <v>5.2516993346291256</v>
      </c>
    </row>
    <row r="8" spans="1:5" x14ac:dyDescent="0.25">
      <c r="A8" s="1" t="s">
        <v>16</v>
      </c>
      <c r="B8" s="1">
        <v>0</v>
      </c>
      <c r="C8" s="1"/>
    </row>
    <row r="9" spans="1:5" x14ac:dyDescent="0.25">
      <c r="A9" s="1" t="s">
        <v>4</v>
      </c>
      <c r="B9" s="1">
        <v>86</v>
      </c>
      <c r="C9" s="1"/>
    </row>
    <row r="10" spans="1:5" x14ac:dyDescent="0.25">
      <c r="A10" s="1" t="s">
        <v>8</v>
      </c>
      <c r="B10" s="1">
        <v>1.7218382776458946E-3</v>
      </c>
      <c r="C10" s="1"/>
    </row>
    <row r="11" spans="1:5" x14ac:dyDescent="0.25">
      <c r="A11" s="1" t="s">
        <v>17</v>
      </c>
      <c r="B11" s="1">
        <v>0.49931508015224552</v>
      </c>
      <c r="C11" s="1"/>
    </row>
    <row r="12" spans="1:5" x14ac:dyDescent="0.25">
      <c r="A12" s="1" t="s">
        <v>18</v>
      </c>
      <c r="B12" s="1">
        <v>1.662765449409072</v>
      </c>
      <c r="C12" s="1"/>
    </row>
    <row r="13" spans="1:5" x14ac:dyDescent="0.25">
      <c r="A13" s="1" t="s">
        <v>19</v>
      </c>
      <c r="B13" s="1">
        <v>0.99863016030449103</v>
      </c>
      <c r="C13" s="1"/>
    </row>
    <row r="14" spans="1:5" ht="15.75" thickBot="1" x14ac:dyDescent="0.3">
      <c r="A14" s="2" t="s">
        <v>20</v>
      </c>
      <c r="B14" s="2">
        <v>1.987934206239018</v>
      </c>
      <c r="C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C41" sqref="C41"/>
    </sheetView>
  </sheetViews>
  <sheetFormatPr defaultRowHeight="15" x14ac:dyDescent="0.25"/>
  <cols>
    <col min="1" max="1" width="21.28515625" customWidth="1"/>
  </cols>
  <sheetData>
    <row r="1" spans="1:7" x14ac:dyDescent="0.25">
      <c r="A1" t="s">
        <v>21</v>
      </c>
    </row>
    <row r="3" spans="1:7" ht="15.75" thickBot="1" x14ac:dyDescent="0.3">
      <c r="A3" t="s">
        <v>22</v>
      </c>
    </row>
    <row r="4" spans="1:7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14</v>
      </c>
    </row>
    <row r="5" spans="1:7" x14ac:dyDescent="0.25">
      <c r="A5" s="1" t="s">
        <v>27</v>
      </c>
      <c r="B5" s="1">
        <v>44</v>
      </c>
      <c r="C5" s="1">
        <v>1075.435540069685</v>
      </c>
      <c r="D5" s="1">
        <v>24.441716819765567</v>
      </c>
      <c r="E5" s="1">
        <v>608.65156645556453</v>
      </c>
    </row>
    <row r="6" spans="1:7" ht="15.75" thickBot="1" x14ac:dyDescent="0.3">
      <c r="A6" s="2" t="s">
        <v>28</v>
      </c>
      <c r="B6" s="2">
        <v>44</v>
      </c>
      <c r="C6" s="2">
        <v>1075.0376666844547</v>
      </c>
      <c r="D6" s="2">
        <v>24.432674242828515</v>
      </c>
      <c r="E6" s="2">
        <v>604.88365320357161</v>
      </c>
    </row>
    <row r="9" spans="1:7" ht="15.75" thickBot="1" x14ac:dyDescent="0.3">
      <c r="A9" t="s">
        <v>2</v>
      </c>
    </row>
    <row r="10" spans="1:7" x14ac:dyDescent="0.25">
      <c r="A10" s="3" t="s">
        <v>29</v>
      </c>
      <c r="B10" s="3" t="s">
        <v>5</v>
      </c>
      <c r="C10" s="3" t="s">
        <v>4</v>
      </c>
      <c r="D10" s="3" t="s">
        <v>6</v>
      </c>
      <c r="E10" s="3" t="s">
        <v>7</v>
      </c>
      <c r="F10" s="3" t="s">
        <v>9</v>
      </c>
      <c r="G10" s="3" t="s">
        <v>30</v>
      </c>
    </row>
    <row r="11" spans="1:7" x14ac:dyDescent="0.25">
      <c r="A11" s="1" t="s">
        <v>31</v>
      </c>
      <c r="B11" s="1">
        <v>1.7989003608818166E-3</v>
      </c>
      <c r="C11" s="1">
        <v>1</v>
      </c>
      <c r="D11" s="1">
        <v>1.7989003608818166E-3</v>
      </c>
      <c r="E11" s="1">
        <v>2.9647270746490588E-6</v>
      </c>
      <c r="F11" s="1">
        <v>0.99863016029980534</v>
      </c>
      <c r="G11" s="1">
        <v>3.9518824083351602</v>
      </c>
    </row>
    <row r="12" spans="1:7" x14ac:dyDescent="0.25">
      <c r="A12" s="1" t="s">
        <v>32</v>
      </c>
      <c r="B12" s="1">
        <v>52182.014445342844</v>
      </c>
      <c r="C12" s="1">
        <v>86</v>
      </c>
      <c r="D12" s="1">
        <v>606.76760982956796</v>
      </c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15.75" thickBot="1" x14ac:dyDescent="0.3">
      <c r="A14" s="2" t="s">
        <v>3</v>
      </c>
      <c r="B14" s="2">
        <v>52182.016244243205</v>
      </c>
      <c r="C14" s="2">
        <v>87</v>
      </c>
      <c r="D14" s="2"/>
      <c r="E14" s="2"/>
      <c r="F14" s="2"/>
      <c r="G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F33" sqref="F33"/>
    </sheetView>
  </sheetViews>
  <sheetFormatPr defaultRowHeight="15" x14ac:dyDescent="0.25"/>
  <sheetData>
    <row r="1" spans="1:3" x14ac:dyDescent="0.25">
      <c r="A1" t="s">
        <v>10</v>
      </c>
    </row>
    <row r="2" spans="1:3" ht="15.75" thickBot="1" x14ac:dyDescent="0.3"/>
    <row r="3" spans="1:3" x14ac:dyDescent="0.25">
      <c r="A3" s="3"/>
      <c r="B3" s="3" t="s">
        <v>11</v>
      </c>
      <c r="C3" s="3" t="s">
        <v>12</v>
      </c>
    </row>
    <row r="4" spans="1:3" x14ac:dyDescent="0.25">
      <c r="A4" s="1" t="s">
        <v>13</v>
      </c>
      <c r="B4" s="1">
        <v>24.441716819765567</v>
      </c>
      <c r="C4" s="1">
        <v>24.448131915337367</v>
      </c>
    </row>
    <row r="5" spans="1:3" x14ac:dyDescent="0.25">
      <c r="A5" s="1" t="s">
        <v>14</v>
      </c>
      <c r="B5" s="1">
        <v>608.65156645556453</v>
      </c>
      <c r="C5" s="1">
        <v>577.30547821672099</v>
      </c>
    </row>
    <row r="6" spans="1:3" x14ac:dyDescent="0.25">
      <c r="A6" s="1" t="s">
        <v>1</v>
      </c>
      <c r="B6" s="1">
        <v>44</v>
      </c>
      <c r="C6" s="1">
        <v>44</v>
      </c>
    </row>
    <row r="7" spans="1:3" x14ac:dyDescent="0.25">
      <c r="A7" s="1" t="s">
        <v>15</v>
      </c>
      <c r="B7" s="1">
        <v>592.97852233614276</v>
      </c>
      <c r="C7" s="1"/>
    </row>
    <row r="8" spans="1:3" x14ac:dyDescent="0.25">
      <c r="A8" s="1" t="s">
        <v>16</v>
      </c>
      <c r="B8" s="1">
        <v>0</v>
      </c>
      <c r="C8" s="1"/>
    </row>
    <row r="9" spans="1:3" x14ac:dyDescent="0.25">
      <c r="A9" s="1" t="s">
        <v>4</v>
      </c>
      <c r="B9" s="1">
        <v>86</v>
      </c>
      <c r="C9" s="1"/>
    </row>
    <row r="10" spans="1:3" x14ac:dyDescent="0.25">
      <c r="A10" s="1" t="s">
        <v>8</v>
      </c>
      <c r="B10" s="1">
        <v>-1.2356486229378918E-3</v>
      </c>
      <c r="C10" s="1"/>
    </row>
    <row r="11" spans="1:3" x14ac:dyDescent="0.25">
      <c r="A11" s="1" t="s">
        <v>17</v>
      </c>
      <c r="B11" s="1">
        <v>0.49950847853548902</v>
      </c>
      <c r="C11" s="1"/>
    </row>
    <row r="12" spans="1:3" x14ac:dyDescent="0.25">
      <c r="A12" s="1" t="s">
        <v>18</v>
      </c>
      <c r="B12" s="1">
        <v>1.662765449409072</v>
      </c>
      <c r="C12" s="1"/>
    </row>
    <row r="13" spans="1:3" x14ac:dyDescent="0.25">
      <c r="A13" s="1" t="s">
        <v>19</v>
      </c>
      <c r="B13" s="1">
        <v>0.99901695707097804</v>
      </c>
      <c r="C13" s="1"/>
    </row>
    <row r="14" spans="1:3" ht="15.75" thickBot="1" x14ac:dyDescent="0.3">
      <c r="A14" s="2" t="s">
        <v>20</v>
      </c>
      <c r="B14" s="2">
        <v>1.987934206239018</v>
      </c>
      <c r="C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C14"/>
    </sheetView>
  </sheetViews>
  <sheetFormatPr defaultRowHeight="15" x14ac:dyDescent="0.25"/>
  <sheetData>
    <row r="1" spans="1:3" x14ac:dyDescent="0.25">
      <c r="A1" t="s">
        <v>10</v>
      </c>
    </row>
    <row r="2" spans="1:3" ht="15.75" thickBot="1" x14ac:dyDescent="0.3"/>
    <row r="3" spans="1:3" x14ac:dyDescent="0.25">
      <c r="A3" s="3"/>
      <c r="B3" s="3" t="s">
        <v>11</v>
      </c>
      <c r="C3" s="3" t="s">
        <v>12</v>
      </c>
    </row>
    <row r="4" spans="1:3" x14ac:dyDescent="0.25">
      <c r="A4" s="1" t="s">
        <v>13</v>
      </c>
      <c r="B4" s="1">
        <v>24.441716819765567</v>
      </c>
      <c r="C4" s="1">
        <v>24.442599428331274</v>
      </c>
    </row>
    <row r="5" spans="1:3" x14ac:dyDescent="0.25">
      <c r="A5" s="1" t="s">
        <v>14</v>
      </c>
      <c r="B5" s="1">
        <v>608.65156645556453</v>
      </c>
      <c r="C5" s="1">
        <v>476.2891739593004</v>
      </c>
    </row>
    <row r="6" spans="1:3" x14ac:dyDescent="0.25">
      <c r="A6" s="1" t="s">
        <v>1</v>
      </c>
      <c r="B6" s="1">
        <v>44</v>
      </c>
      <c r="C6" s="1">
        <v>44</v>
      </c>
    </row>
    <row r="7" spans="1:3" x14ac:dyDescent="0.25">
      <c r="A7" s="1" t="s">
        <v>15</v>
      </c>
      <c r="B7" s="1">
        <v>542.47037020743255</v>
      </c>
      <c r="C7" s="1"/>
    </row>
    <row r="8" spans="1:3" x14ac:dyDescent="0.25">
      <c r="A8" s="1" t="s">
        <v>16</v>
      </c>
      <c r="B8" s="1">
        <v>0</v>
      </c>
      <c r="C8" s="1"/>
    </row>
    <row r="9" spans="1:3" x14ac:dyDescent="0.25">
      <c r="A9" s="1" t="s">
        <v>4</v>
      </c>
      <c r="B9" s="1">
        <v>86</v>
      </c>
      <c r="C9" s="1"/>
    </row>
    <row r="10" spans="1:3" x14ac:dyDescent="0.25">
      <c r="A10" s="1" t="s">
        <v>8</v>
      </c>
      <c r="B10" s="1">
        <v>-1.7774257491031561E-4</v>
      </c>
      <c r="C10" s="1"/>
    </row>
    <row r="11" spans="1:3" x14ac:dyDescent="0.25">
      <c r="A11" s="1" t="s">
        <v>17</v>
      </c>
      <c r="B11" s="1">
        <v>0.49992929679916365</v>
      </c>
      <c r="C11" s="1"/>
    </row>
    <row r="12" spans="1:3" x14ac:dyDescent="0.25">
      <c r="A12" s="1" t="s">
        <v>18</v>
      </c>
      <c r="B12" s="1">
        <v>1.662765449409072</v>
      </c>
      <c r="C12" s="1"/>
    </row>
    <row r="13" spans="1:3" x14ac:dyDescent="0.25">
      <c r="A13" s="1" t="s">
        <v>19</v>
      </c>
      <c r="B13" s="1">
        <v>0.99985859359832729</v>
      </c>
      <c r="C13" s="1"/>
    </row>
    <row r="14" spans="1:3" ht="15.75" thickBot="1" x14ac:dyDescent="0.3">
      <c r="A14" s="2" t="s">
        <v>20</v>
      </c>
      <c r="B14" s="2">
        <v>1.987934206239018</v>
      </c>
      <c r="C1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C14"/>
    </sheetView>
  </sheetViews>
  <sheetFormatPr defaultRowHeight="15" x14ac:dyDescent="0.25"/>
  <sheetData>
    <row r="1" spans="1:3" x14ac:dyDescent="0.25">
      <c r="A1" t="s">
        <v>10</v>
      </c>
    </row>
    <row r="2" spans="1:3" ht="15.75" thickBot="1" x14ac:dyDescent="0.3"/>
    <row r="3" spans="1:3" x14ac:dyDescent="0.25">
      <c r="A3" s="3"/>
      <c r="B3" s="3" t="s">
        <v>11</v>
      </c>
      <c r="C3" s="3" t="s">
        <v>12</v>
      </c>
    </row>
    <row r="4" spans="1:3" x14ac:dyDescent="0.25">
      <c r="A4" s="1" t="s">
        <v>13</v>
      </c>
      <c r="B4" s="1">
        <v>24.441716819765567</v>
      </c>
      <c r="C4" s="1">
        <v>24.441823477589484</v>
      </c>
    </row>
    <row r="5" spans="1:3" x14ac:dyDescent="0.25">
      <c r="A5" s="1" t="s">
        <v>14</v>
      </c>
      <c r="B5" s="1">
        <v>608.65156645556453</v>
      </c>
      <c r="C5" s="1">
        <v>8.8569654775500837</v>
      </c>
    </row>
    <row r="6" spans="1:3" x14ac:dyDescent="0.25">
      <c r="A6" s="1" t="s">
        <v>1</v>
      </c>
      <c r="B6" s="1">
        <v>44</v>
      </c>
      <c r="C6" s="1">
        <v>44</v>
      </c>
    </row>
    <row r="7" spans="1:3" x14ac:dyDescent="0.25">
      <c r="A7" s="1" t="s">
        <v>15</v>
      </c>
      <c r="B7" s="1">
        <v>308.75426596655734</v>
      </c>
      <c r="C7" s="1"/>
    </row>
    <row r="8" spans="1:3" x14ac:dyDescent="0.25">
      <c r="A8" s="1" t="s">
        <v>16</v>
      </c>
      <c r="B8" s="1">
        <v>0</v>
      </c>
      <c r="C8" s="1"/>
    </row>
    <row r="9" spans="1:3" x14ac:dyDescent="0.25">
      <c r="A9" s="1" t="s">
        <v>4</v>
      </c>
      <c r="B9" s="1">
        <v>86</v>
      </c>
      <c r="C9" s="1"/>
    </row>
    <row r="10" spans="1:3" x14ac:dyDescent="0.25">
      <c r="A10" s="1" t="s">
        <v>8</v>
      </c>
      <c r="B10" s="1">
        <v>-2.8470662673367972E-5</v>
      </c>
      <c r="C10" s="1"/>
    </row>
    <row r="11" spans="1:3" x14ac:dyDescent="0.25">
      <c r="A11" s="1" t="s">
        <v>17</v>
      </c>
      <c r="B11" s="1">
        <v>0.49998867481810477</v>
      </c>
      <c r="C11" s="1"/>
    </row>
    <row r="12" spans="1:3" x14ac:dyDescent="0.25">
      <c r="A12" s="1" t="s">
        <v>18</v>
      </c>
      <c r="B12" s="1">
        <v>1.662765449409072</v>
      </c>
      <c r="C12" s="1"/>
    </row>
    <row r="13" spans="1:3" x14ac:dyDescent="0.25">
      <c r="A13" s="1" t="s">
        <v>19</v>
      </c>
      <c r="B13" s="1">
        <v>0.99997734963620954</v>
      </c>
      <c r="C13" s="1"/>
    </row>
    <row r="14" spans="1:3" ht="15.75" thickBot="1" x14ac:dyDescent="0.3">
      <c r="A14" s="2" t="s">
        <v>20</v>
      </c>
      <c r="B14" s="2">
        <v>1.987934206239018</v>
      </c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O4" workbookViewId="0">
      <selection activeCell="R1" sqref="R1:S1048576"/>
    </sheetView>
  </sheetViews>
  <sheetFormatPr defaultRowHeight="15" x14ac:dyDescent="0.25"/>
  <cols>
    <col min="10" max="10" width="11" bestFit="1" customWidth="1"/>
    <col min="11" max="11" width="46.140625" customWidth="1"/>
    <col min="12" max="12" width="24.5703125" bestFit="1" customWidth="1"/>
    <col min="13" max="13" width="22.42578125" customWidth="1"/>
    <col min="14" max="14" width="18.85546875" bestFit="1" customWidth="1"/>
    <col min="15" max="16" width="18.42578125" bestFit="1" customWidth="1"/>
  </cols>
  <sheetData>
    <row r="1" spans="1:19" ht="17.25" x14ac:dyDescent="0.25">
      <c r="A1">
        <v>0.25</v>
      </c>
      <c r="B1">
        <v>0</v>
      </c>
      <c r="C1">
        <f t="shared" ref="C1:C44" si="0">-0.2941*A1*A1*A1*A1+ 5.7446*A1*A1*A1 - 40.396*A1*A1 + 108.91*A1-25.884</f>
        <v>-1.0926394531250025</v>
      </c>
      <c r="D1">
        <v>1E-3</v>
      </c>
      <c r="E1" t="e">
        <f>( -0.2941*4*A1*A1*A1 + 5.7446*3*A1*A1 - 40.396*2*A1 + 108.91)*A1/B1</f>
        <v>#DIV/0!</v>
      </c>
      <c r="F1">
        <f>1.0781*A1^3 - 17.218*A1^2 + 71.931*A1 - 15.297</f>
        <v>1.6264703125000004</v>
      </c>
      <c r="G1" s="5">
        <f xml:space="preserve"> -4.5576*A1^2 + 35.019*A1 - 0.928</f>
        <v>7.5418999999999992</v>
      </c>
      <c r="H1" s="5">
        <f>1.017*A1 + 21.458</f>
        <v>21.712249999999997</v>
      </c>
      <c r="I1">
        <f>AVERAGE(A:A)</f>
        <v>2.9339463889768727</v>
      </c>
      <c r="J1">
        <f>AVERAGE(B:B)</f>
        <v>24.441716819765567</v>
      </c>
      <c r="K1" t="s">
        <v>0</v>
      </c>
      <c r="M1" t="s">
        <v>34</v>
      </c>
      <c r="N1" s="4" t="s">
        <v>36</v>
      </c>
      <c r="O1" t="s">
        <v>37</v>
      </c>
      <c r="R1">
        <v>0.25</v>
      </c>
      <c r="S1">
        <v>0.15207650196379804</v>
      </c>
    </row>
    <row r="2" spans="1:19" x14ac:dyDescent="0.25">
      <c r="A2">
        <v>0.25</v>
      </c>
      <c r="B2">
        <v>0</v>
      </c>
      <c r="C2">
        <f t="shared" si="0"/>
        <v>-1.0926394531250025</v>
      </c>
      <c r="D2">
        <v>1.1999999999999999E-3</v>
      </c>
      <c r="E2" t="e">
        <f t="shared" ref="E2:E44" si="1">( -0.2941*4*A2*A2*A2 + 5.7446*3*A2*A2 - 40.396*2*A2 + 108.91)*A2/B2</f>
        <v>#DIV/0!</v>
      </c>
      <c r="F2">
        <f t="shared" ref="F2:F44" si="2">1.0781*A2^3 - 17.218*A2^2 + 71.931*A2 - 15.297</f>
        <v>1.6264703125000004</v>
      </c>
      <c r="G2" s="5">
        <f t="shared" ref="G2:G44" si="3" xml:space="preserve"> -4.5576*A2^2 + 35.019*A2 - 0.928</f>
        <v>7.5418999999999992</v>
      </c>
      <c r="H2" s="5">
        <f t="shared" ref="H2:H44" si="4">1.017*A2 + 21.458</f>
        <v>21.712249999999997</v>
      </c>
      <c r="I2">
        <f>STDEV(A:A)</f>
        <v>2.9263180292006168</v>
      </c>
      <c r="J2">
        <f>STDEV(B:B)</f>
        <v>24.670864728573349</v>
      </c>
      <c r="M2" s="4" t="s">
        <v>33</v>
      </c>
      <c r="N2" s="4" t="s">
        <v>35</v>
      </c>
      <c r="O2">
        <v>1.46E-2</v>
      </c>
      <c r="R2">
        <v>0.25</v>
      </c>
      <c r="S2">
        <v>0.13189573393068721</v>
      </c>
    </row>
    <row r="3" spans="1:19" x14ac:dyDescent="0.25">
      <c r="A3">
        <v>0.25</v>
      </c>
      <c r="B3">
        <v>0</v>
      </c>
      <c r="C3">
        <f t="shared" si="0"/>
        <v>-1.0926394531250025</v>
      </c>
      <c r="D3">
        <v>1.4399999999999899E-3</v>
      </c>
      <c r="E3" t="e">
        <f t="shared" si="1"/>
        <v>#DIV/0!</v>
      </c>
      <c r="F3">
        <f t="shared" si="2"/>
        <v>1.6264703125000004</v>
      </c>
      <c r="G3" s="5">
        <f t="shared" si="3"/>
        <v>7.5418999999999992</v>
      </c>
      <c r="H3" s="5">
        <f t="shared" si="4"/>
        <v>21.712249999999997</v>
      </c>
      <c r="M3" t="s">
        <v>54</v>
      </c>
      <c r="N3" t="s">
        <v>53</v>
      </c>
      <c r="R3">
        <v>0.25</v>
      </c>
      <c r="S3">
        <v>0.14457142784090915</v>
      </c>
    </row>
    <row r="4" spans="1:19" x14ac:dyDescent="0.25">
      <c r="A4">
        <v>0.25</v>
      </c>
      <c r="B4">
        <v>0</v>
      </c>
      <c r="C4">
        <f t="shared" si="0"/>
        <v>-1.0926394531250025</v>
      </c>
      <c r="D4">
        <v>1.72799999999999E-3</v>
      </c>
      <c r="E4" t="e">
        <f t="shared" si="1"/>
        <v>#DIV/0!</v>
      </c>
      <c r="F4">
        <f t="shared" si="2"/>
        <v>1.6264703125000004</v>
      </c>
      <c r="G4" s="5">
        <f t="shared" si="3"/>
        <v>7.5418999999999992</v>
      </c>
      <c r="H4" s="5">
        <f t="shared" si="4"/>
        <v>21.712249999999997</v>
      </c>
      <c r="R4">
        <v>0.25</v>
      </c>
      <c r="S4">
        <v>0.1388029918173318</v>
      </c>
    </row>
    <row r="5" spans="1:19" x14ac:dyDescent="0.25">
      <c r="A5">
        <v>0.25</v>
      </c>
      <c r="B5">
        <v>0</v>
      </c>
      <c r="C5">
        <f t="shared" si="0"/>
        <v>-1.0926394531250025</v>
      </c>
      <c r="D5">
        <v>2.0735999999999901E-3</v>
      </c>
      <c r="E5" t="e">
        <f t="shared" si="1"/>
        <v>#DIV/0!</v>
      </c>
      <c r="F5">
        <f t="shared" si="2"/>
        <v>1.6264703125000004</v>
      </c>
      <c r="G5" s="5">
        <f t="shared" si="3"/>
        <v>7.5418999999999992</v>
      </c>
      <c r="H5" s="5">
        <f t="shared" si="4"/>
        <v>21.712249999999997</v>
      </c>
      <c r="R5">
        <v>0.25</v>
      </c>
      <c r="S5">
        <v>0.13984924552449762</v>
      </c>
    </row>
    <row r="6" spans="1:19" x14ac:dyDescent="0.25">
      <c r="A6">
        <v>0.25</v>
      </c>
      <c r="B6">
        <v>0</v>
      </c>
      <c r="C6">
        <f t="shared" si="0"/>
        <v>-1.0926394531250025</v>
      </c>
      <c r="D6">
        <v>2.4883199999999901E-3</v>
      </c>
      <c r="E6" t="e">
        <f t="shared" si="1"/>
        <v>#DIV/0!</v>
      </c>
      <c r="F6">
        <f t="shared" si="2"/>
        <v>1.6264703125000004</v>
      </c>
      <c r="G6" s="5">
        <f t="shared" si="3"/>
        <v>7.5418999999999992</v>
      </c>
      <c r="H6" s="5">
        <f t="shared" si="4"/>
        <v>21.712249999999997</v>
      </c>
      <c r="R6">
        <v>0.25</v>
      </c>
      <c r="S6">
        <v>0.13709359536637947</v>
      </c>
    </row>
    <row r="7" spans="1:19" x14ac:dyDescent="0.25">
      <c r="A7">
        <v>0.25</v>
      </c>
      <c r="B7">
        <v>0</v>
      </c>
      <c r="C7">
        <f t="shared" si="0"/>
        <v>-1.0926394531250025</v>
      </c>
      <c r="D7">
        <v>2.9859839999999901E-3</v>
      </c>
      <c r="E7" t="e">
        <f t="shared" si="1"/>
        <v>#DIV/0!</v>
      </c>
      <c r="F7">
        <f t="shared" si="2"/>
        <v>1.6264703125000004</v>
      </c>
      <c r="G7" s="5">
        <f t="shared" si="3"/>
        <v>7.5418999999999992</v>
      </c>
      <c r="H7" s="5">
        <f t="shared" si="4"/>
        <v>21.712249999999997</v>
      </c>
      <c r="R7">
        <v>0.25</v>
      </c>
      <c r="S7">
        <v>0.13379807624699525</v>
      </c>
    </row>
    <row r="8" spans="1:19" x14ac:dyDescent="0.25">
      <c r="A8">
        <v>0.25</v>
      </c>
      <c r="B8">
        <v>0</v>
      </c>
      <c r="C8">
        <f t="shared" si="0"/>
        <v>-1.0926394531250025</v>
      </c>
      <c r="D8">
        <v>3.5831807999999899E-3</v>
      </c>
      <c r="E8" t="e">
        <f t="shared" si="1"/>
        <v>#DIV/0!</v>
      </c>
      <c r="F8">
        <f t="shared" si="2"/>
        <v>1.6264703125000004</v>
      </c>
      <c r="G8" s="5">
        <f t="shared" si="3"/>
        <v>7.5418999999999992</v>
      </c>
      <c r="H8" s="5">
        <f t="shared" si="4"/>
        <v>21.712249999999997</v>
      </c>
      <c r="R8">
        <v>0.25</v>
      </c>
      <c r="S8">
        <v>0.13284009479415279</v>
      </c>
    </row>
    <row r="9" spans="1:19" x14ac:dyDescent="0.25">
      <c r="A9">
        <v>0.25</v>
      </c>
      <c r="B9">
        <v>0</v>
      </c>
      <c r="C9">
        <f t="shared" si="0"/>
        <v>-1.0926394531250025</v>
      </c>
      <c r="D9">
        <v>4.2998169599999898E-3</v>
      </c>
      <c r="E9" t="e">
        <f t="shared" si="1"/>
        <v>#DIV/0!</v>
      </c>
      <c r="F9">
        <f t="shared" si="2"/>
        <v>1.6264703125000004</v>
      </c>
      <c r="G9" s="5">
        <f t="shared" si="3"/>
        <v>7.5418999999999992</v>
      </c>
      <c r="H9" s="5">
        <f t="shared" si="4"/>
        <v>21.712249999999997</v>
      </c>
      <c r="R9">
        <v>0.25</v>
      </c>
      <c r="S9">
        <v>0.13575609687500007</v>
      </c>
    </row>
    <row r="10" spans="1:19" x14ac:dyDescent="0.25">
      <c r="A10">
        <v>0.25653310104529597</v>
      </c>
      <c r="B10">
        <v>0</v>
      </c>
      <c r="C10">
        <f t="shared" si="0"/>
        <v>-0.50770165038325743</v>
      </c>
      <c r="D10">
        <v>5.15978035199999E-3</v>
      </c>
      <c r="E10" t="e">
        <f t="shared" si="1"/>
        <v>#DIV/0!</v>
      </c>
      <c r="F10">
        <f t="shared" si="2"/>
        <v>2.0407798856698953</v>
      </c>
      <c r="G10" s="5">
        <f t="shared" si="3"/>
        <v>7.7556005100523189</v>
      </c>
      <c r="H10" s="5">
        <f t="shared" si="4"/>
        <v>21.718894163763064</v>
      </c>
      <c r="R10">
        <v>0.25653310104529597</v>
      </c>
      <c r="S10">
        <v>0.137498863246167</v>
      </c>
    </row>
    <row r="11" spans="1:19" x14ac:dyDescent="0.25">
      <c r="A11">
        <v>0.27221254355400598</v>
      </c>
      <c r="B11">
        <v>0</v>
      </c>
      <c r="C11">
        <f t="shared" si="0"/>
        <v>0.88359658064032942</v>
      </c>
      <c r="D11">
        <v>6.1917364223999898E-3</v>
      </c>
      <c r="E11" t="e">
        <f t="shared" si="1"/>
        <v>#DIV/0!</v>
      </c>
      <c r="F11">
        <f t="shared" si="2"/>
        <v>3.02941857526503</v>
      </c>
      <c r="G11" s="5">
        <f t="shared" si="3"/>
        <v>8.2668944118842909</v>
      </c>
      <c r="H11" s="5">
        <f t="shared" si="4"/>
        <v>21.734840156794423</v>
      </c>
      <c r="L11" s="6" t="s">
        <v>39</v>
      </c>
      <c r="M11" s="6" t="s">
        <v>40</v>
      </c>
      <c r="N11" s="6" t="s">
        <v>41</v>
      </c>
      <c r="O11" s="6" t="s">
        <v>42</v>
      </c>
      <c r="P11" s="6" t="s">
        <v>43</v>
      </c>
      <c r="R11">
        <v>0.27221254355400598</v>
      </c>
      <c r="S11">
        <v>0.14269869898428258</v>
      </c>
    </row>
    <row r="12" spans="1:19" x14ac:dyDescent="0.25">
      <c r="A12">
        <v>0.28919860627177701</v>
      </c>
      <c r="B12">
        <v>0</v>
      </c>
      <c r="C12">
        <f t="shared" si="0"/>
        <v>2.3709565945839657</v>
      </c>
      <c r="D12">
        <v>7.43008370687999E-3</v>
      </c>
      <c r="E12" t="e">
        <f t="shared" si="1"/>
        <v>#DIV/0!</v>
      </c>
      <c r="F12">
        <f t="shared" si="2"/>
        <v>4.0913795600895675</v>
      </c>
      <c r="G12" s="5">
        <f t="shared" si="3"/>
        <v>8.8182673165875496</v>
      </c>
      <c r="H12" s="5">
        <f t="shared" si="4"/>
        <v>21.752114982578394</v>
      </c>
      <c r="L12" s="6" t="s">
        <v>75</v>
      </c>
      <c r="M12" s="7" t="s">
        <v>85</v>
      </c>
      <c r="N12" s="7" t="s">
        <v>82</v>
      </c>
      <c r="O12" s="7" t="s">
        <v>69</v>
      </c>
      <c r="P12" s="7" t="s">
        <v>70</v>
      </c>
      <c r="R12">
        <v>0.28919860627177701</v>
      </c>
      <c r="S12">
        <v>0.14416093794713655</v>
      </c>
    </row>
    <row r="13" spans="1:19" x14ac:dyDescent="0.25">
      <c r="A13">
        <v>0.32273519163762998</v>
      </c>
      <c r="B13">
        <v>0.87108013937282203</v>
      </c>
      <c r="C13">
        <f t="shared" si="0"/>
        <v>5.2474396697115324</v>
      </c>
      <c r="D13">
        <v>8.9161004482559893E-3</v>
      </c>
      <c r="E13">
        <f t="shared" si="1"/>
        <v>31.340991948462797</v>
      </c>
      <c r="F13">
        <f t="shared" si="2"/>
        <v>6.1605133784313537</v>
      </c>
      <c r="G13" s="5">
        <f t="shared" si="3"/>
        <v>9.8991531572860918</v>
      </c>
      <c r="H13" s="5">
        <f t="shared" si="4"/>
        <v>21.786221689895466</v>
      </c>
      <c r="L13" s="6" t="s">
        <v>44</v>
      </c>
      <c r="M13" s="7" t="s">
        <v>86</v>
      </c>
      <c r="N13" s="7" t="s">
        <v>83</v>
      </c>
      <c r="O13" s="7" t="s">
        <v>76</v>
      </c>
      <c r="P13" s="7" t="s">
        <v>74</v>
      </c>
      <c r="R13">
        <v>0.32273519163762998</v>
      </c>
      <c r="S13">
        <v>0.14416649664721806</v>
      </c>
    </row>
    <row r="14" spans="1:19" x14ac:dyDescent="0.25">
      <c r="A14">
        <v>0.35540069686411102</v>
      </c>
      <c r="B14">
        <v>3.8327526132404102</v>
      </c>
      <c r="C14">
        <f t="shared" si="0"/>
        <v>7.9734711427095846</v>
      </c>
      <c r="D14">
        <v>1.0699320537907101E-2</v>
      </c>
      <c r="E14">
        <f t="shared" si="1"/>
        <v>7.6333510969486484</v>
      </c>
      <c r="F14">
        <f t="shared" si="2"/>
        <v>8.1409243712970962</v>
      </c>
      <c r="G14" s="5">
        <f t="shared" si="3"/>
        <v>10.942108118345478</v>
      </c>
      <c r="H14" s="5">
        <f t="shared" si="4"/>
        <v>21.8194425087108</v>
      </c>
      <c r="L14" s="6" t="s">
        <v>45</v>
      </c>
      <c r="M14" s="7" t="s">
        <v>52</v>
      </c>
      <c r="N14" s="7" t="s">
        <v>84</v>
      </c>
      <c r="O14" s="7" t="s">
        <v>80</v>
      </c>
      <c r="P14" s="7" t="s">
        <v>73</v>
      </c>
      <c r="R14">
        <v>0.35540069686411102</v>
      </c>
      <c r="S14">
        <v>0.15681039731581581</v>
      </c>
    </row>
    <row r="15" spans="1:19" x14ac:dyDescent="0.25">
      <c r="A15">
        <v>0.401567944250871</v>
      </c>
      <c r="B15">
        <v>7.3170731707316996</v>
      </c>
      <c r="C15">
        <f t="shared" si="0"/>
        <v>11.700981681796385</v>
      </c>
      <c r="D15">
        <v>1.28391846454886E-2</v>
      </c>
      <c r="E15">
        <f t="shared" si="1"/>
        <v>4.3448927232669492</v>
      </c>
      <c r="F15">
        <f t="shared" si="2"/>
        <v>10.881476954077453</v>
      </c>
      <c r="G15" s="5">
        <f t="shared" si="3"/>
        <v>12.39956378491908</v>
      </c>
      <c r="H15" s="5">
        <f t="shared" si="4"/>
        <v>21.866394599303135</v>
      </c>
      <c r="L15" s="6" t="s">
        <v>46</v>
      </c>
      <c r="M15" s="7" t="s">
        <v>52</v>
      </c>
      <c r="N15" s="7" t="s">
        <v>52</v>
      </c>
      <c r="O15" s="7" t="s">
        <v>81</v>
      </c>
      <c r="P15" s="7" t="s">
        <v>72</v>
      </c>
      <c r="R15">
        <v>0.401567944250871</v>
      </c>
      <c r="S15">
        <v>0.15301995672141644</v>
      </c>
    </row>
    <row r="16" spans="1:19" x14ac:dyDescent="0.25">
      <c r="A16">
        <v>0.47778745644599302</v>
      </c>
      <c r="B16">
        <v>16.2020905923344</v>
      </c>
      <c r="C16">
        <f t="shared" si="0"/>
        <v>17.541434300869447</v>
      </c>
      <c r="D16">
        <v>1.54070215745863E-2</v>
      </c>
      <c r="E16">
        <f t="shared" si="1"/>
        <v>2.1855788371550111</v>
      </c>
      <c r="F16">
        <f t="shared" si="2"/>
        <v>15.257777867566666</v>
      </c>
      <c r="G16" s="5">
        <f t="shared" si="3"/>
        <v>14.763226119201395</v>
      </c>
      <c r="H16" s="5">
        <f t="shared" si="4"/>
        <v>21.943909843205574</v>
      </c>
      <c r="L16" s="6" t="s">
        <v>47</v>
      </c>
      <c r="M16" s="7" t="s">
        <v>52</v>
      </c>
      <c r="N16" s="7" t="s">
        <v>52</v>
      </c>
      <c r="O16" s="7" t="s">
        <v>52</v>
      </c>
      <c r="P16" s="7" t="s">
        <v>71</v>
      </c>
      <c r="R16">
        <v>0.47778745644599302</v>
      </c>
      <c r="S16">
        <v>0.16257750117362435</v>
      </c>
    </row>
    <row r="17" spans="1:19" x14ac:dyDescent="0.25">
      <c r="A17">
        <v>0.547909407665505</v>
      </c>
      <c r="B17">
        <v>21.428571428571399</v>
      </c>
      <c r="C17">
        <f t="shared" si="0"/>
        <v>22.580139094980595</v>
      </c>
      <c r="D17">
        <v>1.8488425889503599E-2</v>
      </c>
      <c r="E17">
        <f t="shared" si="1"/>
        <v>1.7802098906322046</v>
      </c>
      <c r="F17">
        <f t="shared" si="2"/>
        <v>19.123078018372734</v>
      </c>
      <c r="G17" s="5">
        <f t="shared" si="3"/>
        <v>16.891026519685798</v>
      </c>
      <c r="H17" s="5">
        <f t="shared" si="4"/>
        <v>22.015223867595818</v>
      </c>
      <c r="L17" s="6" t="s">
        <v>48</v>
      </c>
      <c r="M17" s="6">
        <v>44</v>
      </c>
      <c r="N17" s="6">
        <v>44</v>
      </c>
      <c r="O17" s="6">
        <v>44</v>
      </c>
      <c r="P17" s="6">
        <v>44</v>
      </c>
      <c r="R17">
        <v>0.547909407665505</v>
      </c>
      <c r="S17">
        <v>0.16038217483655798</v>
      </c>
    </row>
    <row r="18" spans="1:19" x14ac:dyDescent="0.25">
      <c r="A18">
        <v>0.65592334494773497</v>
      </c>
      <c r="B18">
        <v>31.5331010452961</v>
      </c>
      <c r="C18">
        <f t="shared" si="0"/>
        <v>29.739516771959629</v>
      </c>
      <c r="D18">
        <v>2.2186111067404299E-2</v>
      </c>
      <c r="E18">
        <f t="shared" si="1"/>
        <v>1.3104540278530852</v>
      </c>
      <c r="F18">
        <f t="shared" si="2"/>
        <v>24.78066981483575</v>
      </c>
      <c r="G18" s="5">
        <f t="shared" si="3"/>
        <v>20.080938600687144</v>
      </c>
      <c r="H18" s="5">
        <f t="shared" si="4"/>
        <v>22.125074041811846</v>
      </c>
      <c r="L18" s="6" t="s">
        <v>49</v>
      </c>
      <c r="M18" s="6">
        <v>1.46E-2</v>
      </c>
      <c r="N18" s="6">
        <v>0.78249999999999997</v>
      </c>
      <c r="O18" s="6">
        <v>0.9486</v>
      </c>
      <c r="P18" s="6">
        <v>0.99309999999999998</v>
      </c>
      <c r="R18">
        <v>0.65592334494773497</v>
      </c>
      <c r="S18">
        <v>0.15597748523985788</v>
      </c>
    </row>
    <row r="19" spans="1:19" x14ac:dyDescent="0.25">
      <c r="A19">
        <v>0.76480836236933802</v>
      </c>
      <c r="B19">
        <v>37.456445993031302</v>
      </c>
      <c r="C19">
        <f t="shared" si="0"/>
        <v>36.251656175562346</v>
      </c>
      <c r="D19">
        <v>2.66233332808852E-2</v>
      </c>
      <c r="E19">
        <f t="shared" si="1"/>
        <v>1.1572024846519151</v>
      </c>
      <c r="F19">
        <f t="shared" si="2"/>
        <v>30.127373675760747</v>
      </c>
      <c r="G19" s="5">
        <f t="shared" si="3"/>
        <v>23.188938728162292</v>
      </c>
      <c r="H19" s="5">
        <f t="shared" si="4"/>
        <v>22.235810104529616</v>
      </c>
      <c r="L19" s="6" t="s">
        <v>50</v>
      </c>
      <c r="R19">
        <v>0.76480836236933802</v>
      </c>
      <c r="S19">
        <v>0.14415632105602241</v>
      </c>
    </row>
    <row r="20" spans="1:19" x14ac:dyDescent="0.25">
      <c r="A20">
        <v>0.89634146341463405</v>
      </c>
      <c r="B20">
        <v>46.689895470383199</v>
      </c>
      <c r="C20">
        <f t="shared" si="0"/>
        <v>43.228379807633416</v>
      </c>
      <c r="D20">
        <v>3.1947999937062203E-2</v>
      </c>
      <c r="E20">
        <f t="shared" si="1"/>
        <v>0.95013019685073108</v>
      </c>
      <c r="F20">
        <f t="shared" si="2"/>
        <v>36.120703410041031</v>
      </c>
      <c r="G20" s="5">
        <f t="shared" si="3"/>
        <v>26.799278167757283</v>
      </c>
      <c r="H20" s="5">
        <f t="shared" si="4"/>
        <v>22.369579268292682</v>
      </c>
      <c r="L20" s="6" t="s">
        <v>51</v>
      </c>
      <c r="M20" s="6"/>
      <c r="N20" s="6"/>
      <c r="O20" s="6"/>
      <c r="P20" s="6"/>
      <c r="R20">
        <v>0.89634146341463405</v>
      </c>
      <c r="S20">
        <v>0.12228903734678327</v>
      </c>
    </row>
    <row r="21" spans="1:19" x14ac:dyDescent="0.25">
      <c r="A21">
        <v>1.06620209059233</v>
      </c>
      <c r="B21">
        <v>55.052264808362303</v>
      </c>
      <c r="C21">
        <f t="shared" si="0"/>
        <v>50.897076518974146</v>
      </c>
      <c r="D21">
        <v>3.8337599924474698E-2</v>
      </c>
      <c r="E21">
        <f t="shared" si="1"/>
        <v>0.79278614621585286</v>
      </c>
      <c r="F21">
        <f t="shared" si="2"/>
        <v>43.129491016803058</v>
      </c>
      <c r="G21" s="5">
        <f t="shared" si="3"/>
        <v>31.228311044203405</v>
      </c>
      <c r="H21" s="5">
        <f t="shared" si="4"/>
        <v>22.542327526132397</v>
      </c>
      <c r="L21" s="6" t="s">
        <v>77</v>
      </c>
      <c r="R21">
        <v>1.06620209059233</v>
      </c>
      <c r="S21">
        <v>8.2763042802311643E-2</v>
      </c>
    </row>
    <row r="22" spans="1:19" x14ac:dyDescent="0.25">
      <c r="A22">
        <v>1.27482578397212</v>
      </c>
      <c r="B22">
        <v>61.149825783972098</v>
      </c>
      <c r="C22">
        <f t="shared" si="0"/>
        <v>58.431483485573864</v>
      </c>
      <c r="D22">
        <v>4.6005119909369598E-2</v>
      </c>
      <c r="E22">
        <f t="shared" si="1"/>
        <v>0.65638650363344364</v>
      </c>
      <c r="F22">
        <f t="shared" si="2"/>
        <v>50.653762493524169</v>
      </c>
      <c r="G22" s="5">
        <f t="shared" si="3"/>
        <v>36.308200208361029</v>
      </c>
      <c r="H22" s="5">
        <f t="shared" si="4"/>
        <v>22.754497822299644</v>
      </c>
      <c r="L22" s="6" t="s">
        <v>78</v>
      </c>
      <c r="R22">
        <v>1.27482578397212</v>
      </c>
      <c r="S22">
        <v>1.7578787121114929E-2</v>
      </c>
    </row>
    <row r="23" spans="1:19" x14ac:dyDescent="0.25">
      <c r="A23">
        <v>1.53527874564459</v>
      </c>
      <c r="B23">
        <v>66.724738675958093</v>
      </c>
      <c r="C23">
        <f t="shared" si="0"/>
        <v>65.261022653949809</v>
      </c>
      <c r="D23">
        <v>5.5206143891243502E-2</v>
      </c>
      <c r="E23">
        <f t="shared" si="1"/>
        <v>0.48862415504251228</v>
      </c>
      <c r="F23">
        <f t="shared" si="2"/>
        <v>58.45432028486627</v>
      </c>
      <c r="G23" s="5">
        <f t="shared" si="3"/>
        <v>42.093294817376488</v>
      </c>
      <c r="H23" s="5">
        <f t="shared" si="4"/>
        <v>23.019378484320548</v>
      </c>
      <c r="L23" s="6" t="s">
        <v>79</v>
      </c>
      <c r="R23">
        <v>1.53527874564459</v>
      </c>
      <c r="S23">
        <v>-8.1907477389881855E-2</v>
      </c>
    </row>
    <row r="24" spans="1:19" x14ac:dyDescent="0.25">
      <c r="A24">
        <v>1.8432055749128899</v>
      </c>
      <c r="B24">
        <v>69.163763066202094</v>
      </c>
      <c r="C24">
        <f t="shared" si="0"/>
        <v>70.196632148006955</v>
      </c>
      <c r="D24">
        <v>6.6247372669492294E-2</v>
      </c>
      <c r="E24">
        <f t="shared" si="1"/>
        <v>0.29787116947433795</v>
      </c>
      <c r="F24">
        <f t="shared" si="2"/>
        <v>65.541260717732172</v>
      </c>
      <c r="G24" s="5">
        <f t="shared" si="3"/>
        <v>48.13519483543562</v>
      </c>
      <c r="H24" s="5">
        <f t="shared" si="4"/>
        <v>23.332540069686406</v>
      </c>
      <c r="L24" s="6"/>
      <c r="R24">
        <v>1.8432055749128899</v>
      </c>
      <c r="S24">
        <v>-0.22636775625371272</v>
      </c>
    </row>
    <row r="25" spans="1:19" x14ac:dyDescent="0.25">
      <c r="A25">
        <v>2.1946864111498199</v>
      </c>
      <c r="B25">
        <v>68.466898954703794</v>
      </c>
      <c r="C25">
        <f t="shared" si="0"/>
        <v>72.469171974197096</v>
      </c>
      <c r="D25">
        <v>7.9496847203390703E-2</v>
      </c>
      <c r="E25">
        <f t="shared" si="1"/>
        <v>6.9567957201180683E-2</v>
      </c>
      <c r="F25">
        <f t="shared" si="2"/>
        <v>71.032565898068171</v>
      </c>
      <c r="G25" s="5">
        <f t="shared" si="3"/>
        <v>53.97536648693675</v>
      </c>
      <c r="H25" s="5">
        <f t="shared" si="4"/>
        <v>23.689996080139366</v>
      </c>
      <c r="L25" s="6"/>
      <c r="M25" s="8" t="s">
        <v>88</v>
      </c>
      <c r="N25" s="8"/>
      <c r="O25" s="8" t="s">
        <v>89</v>
      </c>
      <c r="P25" s="8"/>
      <c r="R25">
        <v>2.1946864111498199</v>
      </c>
      <c r="S25">
        <v>-0.42049089291829078</v>
      </c>
    </row>
    <row r="26" spans="1:19" x14ac:dyDescent="0.25">
      <c r="A26">
        <v>2.6254355400696801</v>
      </c>
      <c r="B26">
        <v>68.466898954703794</v>
      </c>
      <c r="C26">
        <f t="shared" si="0"/>
        <v>71.592199124845465</v>
      </c>
      <c r="D26">
        <v>9.5396216644068901E-2</v>
      </c>
      <c r="E26">
        <f t="shared" si="1"/>
        <v>-0.21866121841528544</v>
      </c>
      <c r="F26">
        <f t="shared" si="2"/>
        <v>74.381311980924238</v>
      </c>
      <c r="G26" s="5">
        <f t="shared" si="3"/>
        <v>59.596992471682235</v>
      </c>
      <c r="H26" s="5">
        <f t="shared" si="4"/>
        <v>24.128067944250862</v>
      </c>
      <c r="L26" s="6" t="s">
        <v>39</v>
      </c>
      <c r="M26" s="7" t="s">
        <v>90</v>
      </c>
      <c r="N26" s="7" t="s">
        <v>91</v>
      </c>
      <c r="O26" s="7" t="s">
        <v>90</v>
      </c>
      <c r="P26" s="7" t="s">
        <v>91</v>
      </c>
      <c r="R26">
        <v>2.6254355400696801</v>
      </c>
      <c r="S26">
        <v>-0.6884860740511265</v>
      </c>
    </row>
    <row r="27" spans="1:19" x14ac:dyDescent="0.25">
      <c r="A27">
        <v>3.13153310104529</v>
      </c>
      <c r="B27">
        <v>65.156794425087099</v>
      </c>
      <c r="C27">
        <f t="shared" si="0"/>
        <v>67.15816422815486</v>
      </c>
      <c r="D27">
        <v>0.114475459972882</v>
      </c>
      <c r="E27">
        <f t="shared" si="1"/>
        <v>-0.53906171405778636</v>
      </c>
      <c r="F27">
        <f t="shared" si="2"/>
        <v>74.216778424052194</v>
      </c>
      <c r="G27" s="5">
        <f t="shared" si="3"/>
        <v>64.041055257439041</v>
      </c>
      <c r="H27" s="5">
        <f t="shared" si="4"/>
        <v>24.642769163763059</v>
      </c>
      <c r="L27" s="6" t="s">
        <v>75</v>
      </c>
      <c r="M27" s="7" t="s">
        <v>96</v>
      </c>
      <c r="N27" s="7" t="s">
        <v>98</v>
      </c>
      <c r="O27" s="7" t="s">
        <v>92</v>
      </c>
      <c r="P27" s="7" t="s">
        <v>94</v>
      </c>
      <c r="R27">
        <v>3.13153310104529</v>
      </c>
      <c r="S27">
        <v>-0.99269009845829781</v>
      </c>
    </row>
    <row r="28" spans="1:19" x14ac:dyDescent="0.25">
      <c r="A28">
        <v>3.65418118466898</v>
      </c>
      <c r="B28">
        <v>60.104529616724697</v>
      </c>
      <c r="C28">
        <f t="shared" si="0"/>
        <v>60.548822317967293</v>
      </c>
      <c r="D28">
        <v>0.13737055196745901</v>
      </c>
      <c r="E28">
        <f t="shared" si="1"/>
        <v>-0.82664289033127814</v>
      </c>
      <c r="F28">
        <f t="shared" si="2"/>
        <v>70.244534658989551</v>
      </c>
      <c r="G28" s="5">
        <f t="shared" si="3"/>
        <v>66.179955207663056</v>
      </c>
      <c r="H28" s="5">
        <f t="shared" si="4"/>
        <v>25.17430226480835</v>
      </c>
      <c r="L28" s="6" t="s">
        <v>87</v>
      </c>
      <c r="M28" s="7" t="s">
        <v>97</v>
      </c>
      <c r="N28" s="7" t="s">
        <v>99</v>
      </c>
      <c r="O28" s="7" t="s">
        <v>93</v>
      </c>
      <c r="P28" s="7" t="s">
        <v>95</v>
      </c>
      <c r="R28">
        <v>3.65418118466898</v>
      </c>
      <c r="S28">
        <v>-1.2149094799328624</v>
      </c>
    </row>
    <row r="29" spans="1:19" x14ac:dyDescent="0.25">
      <c r="A29">
        <v>4.1737804878048701</v>
      </c>
      <c r="B29">
        <v>54.529616724738602</v>
      </c>
      <c r="C29">
        <f t="shared" si="0"/>
        <v>53.39986113918367</v>
      </c>
      <c r="D29">
        <v>0.16484466236095099</v>
      </c>
      <c r="E29">
        <f t="shared" si="1"/>
        <v>-1.0419313392983454</v>
      </c>
      <c r="F29">
        <f t="shared" si="2"/>
        <v>63.369695756478222</v>
      </c>
      <c r="G29" s="5">
        <f t="shared" si="3"/>
        <v>65.838205331647856</v>
      </c>
      <c r="H29" s="5">
        <f t="shared" si="4"/>
        <v>25.702734756097552</v>
      </c>
      <c r="L29" s="6" t="s">
        <v>49</v>
      </c>
      <c r="M29" s="6">
        <v>0.89229999999999998</v>
      </c>
      <c r="N29" s="6">
        <v>0.91300000000000003</v>
      </c>
      <c r="O29" s="6">
        <v>0.94199999999999995</v>
      </c>
      <c r="P29" s="6">
        <v>0.9657</v>
      </c>
      <c r="R29">
        <v>4.1737804878048701</v>
      </c>
      <c r="S29">
        <v>-1.4092995466750005</v>
      </c>
    </row>
    <row r="30" spans="1:19" x14ac:dyDescent="0.25">
      <c r="A30">
        <v>4.6729094076655002</v>
      </c>
      <c r="B30">
        <v>50.696864111498201</v>
      </c>
      <c r="C30">
        <f t="shared" si="0"/>
        <v>46.88873302537128</v>
      </c>
      <c r="D30">
        <v>0.19781359483314101</v>
      </c>
      <c r="E30">
        <f t="shared" si="1"/>
        <v>-1.137657904577275</v>
      </c>
      <c r="F30">
        <f t="shared" si="2"/>
        <v>54.863586061947586</v>
      </c>
      <c r="G30" s="5">
        <f t="shared" si="3"/>
        <v>63.192485709581319</v>
      </c>
      <c r="H30" s="5">
        <f t="shared" si="4"/>
        <v>26.210348867595812</v>
      </c>
      <c r="L30" s="6"/>
      <c r="R30">
        <v>4.6729094076655002</v>
      </c>
      <c r="S30">
        <v>-1.5768803399746798</v>
      </c>
    </row>
    <row r="31" spans="1:19" x14ac:dyDescent="0.25">
      <c r="A31">
        <v>5.1132404181184601</v>
      </c>
      <c r="B31">
        <v>42.508710801393697</v>
      </c>
      <c r="C31">
        <f t="shared" si="0"/>
        <v>41.774992394724009</v>
      </c>
      <c r="D31">
        <v>0.23737631379976901</v>
      </c>
      <c r="E31">
        <f t="shared" si="1"/>
        <v>-1.3095018358978785</v>
      </c>
      <c r="F31">
        <f t="shared" si="2"/>
        <v>46.462744289388212</v>
      </c>
      <c r="G31" s="5">
        <f t="shared" si="3"/>
        <v>58.973077013196786</v>
      </c>
      <c r="H31" s="5">
        <f t="shared" si="4"/>
        <v>26.658165505226471</v>
      </c>
      <c r="L31" s="6" t="s">
        <v>50</v>
      </c>
      <c r="R31">
        <v>5.1132404181184601</v>
      </c>
      <c r="S31">
        <v>-1.6135280972646584</v>
      </c>
    </row>
    <row r="32" spans="1:19" x14ac:dyDescent="0.25">
      <c r="A32">
        <v>5.5374564459930298</v>
      </c>
      <c r="B32">
        <v>37.804878048780402</v>
      </c>
      <c r="C32">
        <f t="shared" si="0"/>
        <v>37.412485738311275</v>
      </c>
      <c r="D32">
        <v>0.28485157655972299</v>
      </c>
      <c r="E32">
        <f t="shared" si="1"/>
        <v>-1.4317161626196224</v>
      </c>
      <c r="F32">
        <f t="shared" si="2"/>
        <v>38.11349627126711</v>
      </c>
      <c r="G32" s="5">
        <f t="shared" si="3"/>
        <v>53.236566555378886</v>
      </c>
      <c r="H32" s="5">
        <f t="shared" si="4"/>
        <v>27.089593205574907</v>
      </c>
      <c r="L32" s="6" t="s">
        <v>51</v>
      </c>
      <c r="R32">
        <v>5.5374564459930298</v>
      </c>
      <c r="S32">
        <v>-1.6079372139491359</v>
      </c>
    </row>
    <row r="33" spans="1:19" x14ac:dyDescent="0.25">
      <c r="A33">
        <v>5.8784843205574902</v>
      </c>
      <c r="B33">
        <v>33.7979094076655</v>
      </c>
      <c r="C33">
        <f t="shared" si="0"/>
        <v>34.152385392462193</v>
      </c>
      <c r="D33">
        <v>0.341821891871668</v>
      </c>
      <c r="E33">
        <f t="shared" si="1"/>
        <v>-1.6449648694079562</v>
      </c>
      <c r="F33">
        <f t="shared" si="2"/>
        <v>31.558656196496511</v>
      </c>
      <c r="G33" s="5">
        <f t="shared" si="3"/>
        <v>47.435582952476068</v>
      </c>
      <c r="H33" s="5">
        <f t="shared" si="4"/>
        <v>27.436418554006966</v>
      </c>
      <c r="L33" s="6" t="s">
        <v>77</v>
      </c>
      <c r="R33">
        <v>5.8784843205574902</v>
      </c>
      <c r="S33">
        <v>-1.7793876759477547</v>
      </c>
    </row>
    <row r="34" spans="1:19" x14ac:dyDescent="0.25">
      <c r="A34">
        <v>6.1785714285714199</v>
      </c>
      <c r="B34">
        <v>31.8815331010452</v>
      </c>
      <c r="C34">
        <f t="shared" si="0"/>
        <v>31.274319345292511</v>
      </c>
      <c r="D34">
        <v>0.41018627024600102</v>
      </c>
      <c r="E34">
        <f t="shared" si="1"/>
        <v>-1.9079911897189095</v>
      </c>
      <c r="F34">
        <f t="shared" si="2"/>
        <v>26.127538707179408</v>
      </c>
      <c r="G34" s="5">
        <f t="shared" si="3"/>
        <v>41.454175510204237</v>
      </c>
      <c r="H34" s="5">
        <f t="shared" si="4"/>
        <v>27.741607142857131</v>
      </c>
      <c r="L34" s="6" t="s">
        <v>78</v>
      </c>
      <c r="R34">
        <v>6.1785714285714199</v>
      </c>
      <c r="S34">
        <v>-2.0419325619050506</v>
      </c>
    </row>
    <row r="35" spans="1:19" x14ac:dyDescent="0.25">
      <c r="A35">
        <v>6.40418118466898</v>
      </c>
      <c r="B35">
        <v>28.745644599303098</v>
      </c>
      <c r="C35">
        <f t="shared" si="0"/>
        <v>28.96977457281254</v>
      </c>
      <c r="D35">
        <v>0.492223524295202</v>
      </c>
      <c r="E35">
        <f t="shared" si="1"/>
        <v>-2.3768192670227895</v>
      </c>
      <c r="F35">
        <f t="shared" si="2"/>
        <v>22.362801676902134</v>
      </c>
      <c r="G35" s="5">
        <f t="shared" si="3"/>
        <v>36.416726287802675</v>
      </c>
      <c r="H35" s="5">
        <f t="shared" si="4"/>
        <v>27.97105226480835</v>
      </c>
      <c r="L35" s="6" t="s">
        <v>79</v>
      </c>
      <c r="R35">
        <v>6.40418118466898</v>
      </c>
      <c r="S35">
        <v>-2.6326973531203817</v>
      </c>
    </row>
    <row r="36" spans="1:19" x14ac:dyDescent="0.25">
      <c r="A36">
        <v>6.6385017421602699</v>
      </c>
      <c r="B36">
        <v>27.003484320557401</v>
      </c>
      <c r="C36">
        <f t="shared" si="0"/>
        <v>26.314231064136848</v>
      </c>
      <c r="D36">
        <v>0.590668229154242</v>
      </c>
      <c r="E36">
        <f t="shared" si="1"/>
        <v>-2.9754307545865792</v>
      </c>
      <c r="F36">
        <f t="shared" si="2"/>
        <v>18.830384842460742</v>
      </c>
      <c r="G36" s="5">
        <f t="shared" si="3"/>
        <v>30.693603265791975</v>
      </c>
      <c r="H36" s="5">
        <f t="shared" si="4"/>
        <v>28.209356271776993</v>
      </c>
      <c r="R36">
        <v>6.6385017421602699</v>
      </c>
      <c r="S36">
        <v>-3.9227895870646798</v>
      </c>
    </row>
    <row r="37" spans="1:19" x14ac:dyDescent="0.25">
      <c r="A37">
        <v>6.8523519163762998</v>
      </c>
      <c r="B37">
        <v>22.473867595818799</v>
      </c>
      <c r="C37">
        <f t="shared" si="0"/>
        <v>23.53344001917641</v>
      </c>
      <c r="D37">
        <v>0.70880187498509095</v>
      </c>
      <c r="E37">
        <f t="shared" si="1"/>
        <v>-4.2698363959261112</v>
      </c>
      <c r="F37">
        <f t="shared" si="2"/>
        <v>16.012051344861472</v>
      </c>
      <c r="G37" s="5">
        <f t="shared" si="3"/>
        <v>25.033648960318995</v>
      </c>
      <c r="H37" s="5">
        <f t="shared" si="4"/>
        <v>28.426841898954695</v>
      </c>
      <c r="R37">
        <v>6.8523519163762998</v>
      </c>
      <c r="S37">
        <v>-5.5025998887688168</v>
      </c>
    </row>
    <row r="38" spans="1:19" x14ac:dyDescent="0.25">
      <c r="A38">
        <v>7.0753484320557396</v>
      </c>
      <c r="B38">
        <v>18.292682926829201</v>
      </c>
      <c r="C38">
        <f t="shared" si="0"/>
        <v>20.127595203619663</v>
      </c>
      <c r="D38">
        <v>0.85056224998210905</v>
      </c>
      <c r="E38">
        <f t="shared" si="1"/>
        <v>-6.445387304609115</v>
      </c>
      <c r="F38">
        <f t="shared" si="2"/>
        <v>13.555814626119425</v>
      </c>
      <c r="G38" s="5">
        <f t="shared" si="3"/>
        <v>18.687639291633044</v>
      </c>
      <c r="H38" s="5">
        <f t="shared" si="4"/>
        <v>28.653629355400685</v>
      </c>
      <c r="R38">
        <v>7.0753484320557396</v>
      </c>
      <c r="S38">
        <v>-8.7531219106268878</v>
      </c>
    </row>
    <row r="39" spans="1:19" x14ac:dyDescent="0.25">
      <c r="A39">
        <v>7.2770034843205504</v>
      </c>
      <c r="B39">
        <v>14.9825783972125</v>
      </c>
      <c r="C39">
        <f t="shared" si="0"/>
        <v>16.469159565424448</v>
      </c>
      <c r="D39">
        <v>1.0206746999785301</v>
      </c>
      <c r="E39">
        <f t="shared" si="1"/>
        <v>-9.5827241629819753</v>
      </c>
      <c r="F39">
        <f t="shared" si="2"/>
        <v>11.817857332966323</v>
      </c>
      <c r="G39" s="5">
        <f t="shared" si="3"/>
        <v>12.558681007418041</v>
      </c>
      <c r="H39" s="5">
        <f t="shared" si="4"/>
        <v>28.858712543553999</v>
      </c>
      <c r="R39">
        <v>7.2770034843205504</v>
      </c>
      <c r="S39">
        <v>-14.4960978320221</v>
      </c>
    </row>
    <row r="40" spans="1:19" x14ac:dyDescent="0.25">
      <c r="A40">
        <v>7.4455574912891898</v>
      </c>
      <c r="B40">
        <v>12.0209059233449</v>
      </c>
      <c r="C40">
        <f t="shared" si="0"/>
        <v>12.89040966545646</v>
      </c>
      <c r="D40">
        <v>1.2248096399742301</v>
      </c>
      <c r="E40">
        <f t="shared" si="1"/>
        <v>-14.132574555150116</v>
      </c>
      <c r="F40">
        <f t="shared" si="2"/>
        <v>10.757198821609531</v>
      </c>
      <c r="G40" s="5">
        <f t="shared" si="3"/>
        <v>7.1513767869286342</v>
      </c>
      <c r="H40" s="5">
        <f t="shared" si="4"/>
        <v>29.030131968641104</v>
      </c>
      <c r="R40">
        <v>7.4455574912891898</v>
      </c>
      <c r="S40">
        <v>-27.565964735263634</v>
      </c>
    </row>
    <row r="41" spans="1:19" x14ac:dyDescent="0.25">
      <c r="A41">
        <v>7.58928571428571</v>
      </c>
      <c r="B41">
        <v>9.7560975609756095</v>
      </c>
      <c r="C41">
        <f t="shared" si="0"/>
        <v>9.397278286909355</v>
      </c>
      <c r="D41">
        <v>1.4697715679690799</v>
      </c>
      <c r="E41">
        <f t="shared" si="1"/>
        <v>-20.112126253915193</v>
      </c>
      <c r="F41">
        <f t="shared" si="2"/>
        <v>10.159604822453641</v>
      </c>
      <c r="G41" s="5">
        <f t="shared" si="3"/>
        <v>2.3359349489797383</v>
      </c>
      <c r="H41" s="5">
        <f t="shared" si="4"/>
        <v>29.176303571428566</v>
      </c>
      <c r="R41">
        <v>7.58928571428571</v>
      </c>
      <c r="S41">
        <v>-47.943915122767692</v>
      </c>
    </row>
    <row r="42" spans="1:19" x14ac:dyDescent="0.25">
      <c r="A42">
        <v>7.71036585365853</v>
      </c>
      <c r="B42">
        <v>6.09756097560975</v>
      </c>
      <c r="C42">
        <f t="shared" si="0"/>
        <v>6.0963375687068861</v>
      </c>
      <c r="D42">
        <v>1.7637258815629</v>
      </c>
      <c r="E42">
        <f t="shared" si="1"/>
        <v>-36.314265027699989</v>
      </c>
      <c r="F42">
        <f t="shared" si="2"/>
        <v>9.8903530383433029</v>
      </c>
      <c r="G42" s="5">
        <f t="shared" si="3"/>
        <v>-1.8668404744197487</v>
      </c>
      <c r="H42" s="5">
        <f t="shared" si="4"/>
        <v>29.299442073170724</v>
      </c>
      <c r="R42">
        <v>7.71036585365853</v>
      </c>
      <c r="S42">
        <v>-108.55569186765463</v>
      </c>
    </row>
    <row r="43" spans="1:19" x14ac:dyDescent="0.25">
      <c r="A43">
        <v>7.8196864111498199</v>
      </c>
      <c r="B43">
        <v>3.4843205574912801</v>
      </c>
      <c r="C43">
        <f t="shared" si="0"/>
        <v>2.8039955176132167</v>
      </c>
      <c r="D43">
        <v>2.1164710578754802</v>
      </c>
      <c r="E43">
        <f t="shared" si="1"/>
        <v>-70.817406461855185</v>
      </c>
      <c r="F43">
        <f t="shared" si="2"/>
        <v>9.8413708703837095</v>
      </c>
      <c r="G43" s="5">
        <f t="shared" si="3"/>
        <v>-5.7762273719479849</v>
      </c>
      <c r="H43" s="5">
        <f t="shared" si="4"/>
        <v>29.410621080139364</v>
      </c>
      <c r="R43">
        <v>7.7865853658536501</v>
      </c>
      <c r="S43">
        <v>-146.6339743055868</v>
      </c>
    </row>
    <row r="44" spans="1:19" x14ac:dyDescent="0.25">
      <c r="A44">
        <v>7.9111498257839701</v>
      </c>
      <c r="B44">
        <v>1.7421602787456401</v>
      </c>
      <c r="C44">
        <f t="shared" si="0"/>
        <v>-0.19801935835458551</v>
      </c>
      <c r="D44">
        <v>2.5397652694505699</v>
      </c>
      <c r="E44">
        <f t="shared" si="1"/>
        <v>-154.93148991671703</v>
      </c>
      <c r="F44">
        <f t="shared" si="2"/>
        <v>9.9482958171194262</v>
      </c>
      <c r="G44" s="5">
        <f t="shared" si="3"/>
        <v>-9.1307266920807173</v>
      </c>
      <c r="H44" s="5">
        <f t="shared" si="4"/>
        <v>29.503639372822295</v>
      </c>
      <c r="R44">
        <v>7.8893728222996504</v>
      </c>
      <c r="S44">
        <v>-325.28035631675812</v>
      </c>
    </row>
    <row r="45" spans="1:19" x14ac:dyDescent="0.25">
      <c r="R45">
        <v>7.9385888501742103</v>
      </c>
      <c r="S45" t="e">
        <v>#DIV/0!</v>
      </c>
    </row>
  </sheetData>
  <mergeCells count="2">
    <mergeCell ref="M25:N25"/>
    <mergeCell ref="O25:P2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K15" sqref="K15"/>
    </sheetView>
  </sheetViews>
  <sheetFormatPr defaultRowHeight="15" x14ac:dyDescent="0.25"/>
  <cols>
    <col min="1" max="1" width="53.140625" bestFit="1" customWidth="1"/>
  </cols>
  <sheetData>
    <row r="1" spans="1:1" x14ac:dyDescent="0.25">
      <c r="A1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63</v>
      </c>
    </row>
    <row r="12" spans="1:1" x14ac:dyDescent="0.25">
      <c r="A12" t="s">
        <v>64</v>
      </c>
    </row>
    <row r="13" spans="1:1" x14ac:dyDescent="0.25">
      <c r="A13" t="s">
        <v>65</v>
      </c>
    </row>
    <row r="15" spans="1:1" x14ac:dyDescent="0.25">
      <c r="A15" t="s">
        <v>66</v>
      </c>
    </row>
    <row r="16" spans="1:1" x14ac:dyDescent="0.25">
      <c r="A16" t="s">
        <v>67</v>
      </c>
    </row>
    <row r="17" spans="1:1" x14ac:dyDescent="0.25">
      <c r="A1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2</vt:i4>
      </vt:variant>
    </vt:vector>
  </HeadingPairs>
  <TitlesOfParts>
    <vt:vector size="9" baseType="lpstr">
      <vt:lpstr>4</vt:lpstr>
      <vt:lpstr>4(2)</vt:lpstr>
      <vt:lpstr>3</vt:lpstr>
      <vt:lpstr>Sheet8</vt:lpstr>
      <vt:lpstr>Sheet9</vt:lpstr>
      <vt:lpstr>elasticity_points_2_offset_2</vt:lpstr>
      <vt:lpstr>Sheet1</vt:lpstr>
      <vt:lpstr>Chart1</vt:lpstr>
      <vt:lpstr>Chart2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Janson2861</dc:creator>
  <cp:lastModifiedBy>Michael Janson</cp:lastModifiedBy>
  <cp:lastPrinted>2013-12-07T21:50:58Z</cp:lastPrinted>
  <dcterms:created xsi:type="dcterms:W3CDTF">2013-12-07T19:05:13Z</dcterms:created>
  <dcterms:modified xsi:type="dcterms:W3CDTF">2014-07-29T17:56:34Z</dcterms:modified>
</cp:coreProperties>
</file>